
<file path=[Content_Types].xml><?xml version="1.0" encoding="utf-8"?>
<Types xmlns="http://schemas.openxmlformats.org/package/2006/content-types">
  <Default Extension="vml" ContentType="application/vnd.openxmlformats-officedocument.vmlDrawing"/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6980" tabRatio="703" firstSheet="2" activeTab="2"/>
  </bookViews>
  <sheets>
    <sheet name="封面" sheetId="5" r:id="rId1"/>
    <sheet name="修订履历" sheetId="6" r:id="rId2"/>
    <sheet name="综述" sheetId="3" r:id="rId3"/>
    <sheet name="1.文件列表检查" sheetId="7" r:id="rId4"/>
    <sheet name="2.提交范围检查" sheetId="8" r:id="rId5"/>
    <sheet name="3.规格+值域+主外键" sheetId="9" r:id="rId6"/>
    <sheet name="4.几何拓扑逻辑检查" sheetId="4" r:id="rId7"/>
    <sheet name="5.与现实世界一致性检查" sheetId="2" r:id="rId8"/>
  </sheets>
  <definedNames>
    <definedName name="_xlnm._FilterDatabase" localSheetId="5" hidden="1">'3.规格+值域+主外键'!$A$1:$N$234</definedName>
    <definedName name="_xlnm._FilterDatabase" localSheetId="6" hidden="1">'4.几何拓扑逻辑检查'!$A$1:$M$127</definedName>
    <definedName name="_xlnm._FilterDatabase" localSheetId="7" hidden="1">'5.与现实世界一致性检查'!$A$1:$J$51</definedName>
  </definedNames>
  <calcPr calcId="144525"/>
</workbook>
</file>

<file path=xl/comments1.xml><?xml version="1.0" encoding="utf-8"?>
<comments xmlns="http://schemas.openxmlformats.org/spreadsheetml/2006/main">
  <authors>
    <author>Qian.Wang26</author>
  </authors>
  <commentList>
    <comment ref="E2" authorId="0">
      <text>
        <r>
          <rPr>
            <b/>
            <sz val="9"/>
            <rFont val="宋体"/>
            <charset val="134"/>
          </rPr>
          <t>Qian.Wang26:</t>
        </r>
        <r>
          <rPr>
            <sz val="9"/>
            <rFont val="宋体"/>
            <charset val="134"/>
          </rPr>
          <t xml:space="preserve">
文件夹+图层名</t>
        </r>
      </text>
    </comment>
    <comment ref="E3" authorId="0">
      <text>
        <r>
          <rPr>
            <b/>
            <sz val="9"/>
            <rFont val="宋体"/>
            <charset val="134"/>
          </rPr>
          <t>Qian.Wang26:</t>
        </r>
        <r>
          <rPr>
            <sz val="9"/>
            <rFont val="宋体"/>
            <charset val="134"/>
          </rPr>
          <t xml:space="preserve">
文件夹</t>
        </r>
      </text>
    </comment>
    <comment ref="E4" authorId="0">
      <text>
        <r>
          <rPr>
            <b/>
            <sz val="9"/>
            <rFont val="宋体"/>
            <charset val="134"/>
          </rPr>
          <t>Qian.Wang26:</t>
        </r>
        <r>
          <rPr>
            <sz val="9"/>
            <rFont val="宋体"/>
            <charset val="134"/>
          </rPr>
          <t xml:space="preserve">
文件夹中图层格式</t>
        </r>
      </text>
    </comment>
    <comment ref="E5" authorId="0">
      <text>
        <r>
          <rPr>
            <b/>
            <sz val="9"/>
            <rFont val="宋体"/>
            <charset val="134"/>
          </rPr>
          <t>Qian.Wang26:</t>
        </r>
        <r>
          <rPr>
            <sz val="9"/>
            <rFont val="宋体"/>
            <charset val="134"/>
          </rPr>
          <t xml:space="preserve">
文件夹中图层数量</t>
        </r>
      </text>
    </comment>
  </commentList>
</comments>
</file>

<file path=xl/sharedStrings.xml><?xml version="1.0" encoding="utf-8"?>
<sst xmlns="http://schemas.openxmlformats.org/spreadsheetml/2006/main" count="2415" uniqueCount="544">
  <si>
    <t>文件类型</t>
  </si>
  <si>
    <t>记录</t>
  </si>
  <si>
    <t>文件编号</t>
  </si>
  <si>
    <t>密    级</t>
  </si>
  <si>
    <r>
      <rPr>
        <sz val="10"/>
        <color theme="1" tint="0.499984740745262"/>
        <rFont val="宋体"/>
        <charset val="134"/>
      </rPr>
      <t>□绝密</t>
    </r>
    <r>
      <rPr>
        <sz val="10"/>
        <color theme="1" tint="0.499984740745262"/>
        <rFont val="Tahoma"/>
        <charset val="134"/>
      </rPr>
      <t xml:space="preserve">  </t>
    </r>
    <r>
      <rPr>
        <sz val="10"/>
        <color theme="1" tint="0.499984740745262"/>
        <rFont val="宋体"/>
        <charset val="134"/>
      </rPr>
      <t>□机密</t>
    </r>
    <r>
      <rPr>
        <sz val="10"/>
        <color theme="1" tint="0.499984740745262"/>
        <rFont val="Tahoma"/>
        <charset val="134"/>
      </rPr>
      <t xml:space="preserve">    </t>
    </r>
    <r>
      <rPr>
        <sz val="10"/>
        <color theme="1" tint="0.499984740745262"/>
        <rFont val="宋体"/>
        <charset val="134"/>
      </rPr>
      <t>■秘密</t>
    </r>
  </si>
  <si>
    <t>适用范围</t>
  </si>
  <si>
    <t>质量体系</t>
  </si>
  <si>
    <t>Onemap产品库出品验收报告</t>
  </si>
  <si>
    <t>生效日期</t>
  </si>
  <si>
    <t>版本号</t>
  </si>
  <si>
    <t>V1.0</t>
  </si>
  <si>
    <t>版本状态</t>
  </si>
  <si>
    <t xml:space="preserve"> □草案   □定稿   ■发布版   □修订稿</t>
  </si>
  <si>
    <t>编 制 人</t>
  </si>
  <si>
    <t>王乾</t>
  </si>
  <si>
    <t>编制日期</t>
  </si>
  <si>
    <t>审 核 人</t>
  </si>
  <si>
    <t>魏娜</t>
  </si>
  <si>
    <t>审核日期</t>
  </si>
  <si>
    <t>批 准 人</t>
  </si>
  <si>
    <t>批准日期</t>
  </si>
  <si>
    <t>标准</t>
  </si>
  <si>
    <r>
      <rPr>
        <sz val="9"/>
        <color theme="1" tint="0.499984740745262"/>
        <rFont val="宋体"/>
        <charset val="134"/>
      </rPr>
      <t>□绝密</t>
    </r>
    <r>
      <rPr>
        <sz val="9"/>
        <color theme="1" tint="0.499984740745262"/>
        <rFont val="Tahoma"/>
        <charset val="134"/>
      </rPr>
      <t xml:space="preserve">  </t>
    </r>
    <r>
      <rPr>
        <sz val="9"/>
        <color theme="1" tint="0.499984740745262"/>
        <rFont val="宋体"/>
        <charset val="134"/>
      </rPr>
      <t>□机密</t>
    </r>
    <r>
      <rPr>
        <sz val="9"/>
        <color theme="1" tint="0.499984740745262"/>
        <rFont val="Tahoma"/>
        <charset val="134"/>
      </rPr>
      <t xml:space="preserve">    </t>
    </r>
    <r>
      <rPr>
        <sz val="9"/>
        <color theme="1" tint="0.499984740745262"/>
        <rFont val="宋体"/>
        <charset val="134"/>
      </rPr>
      <t>■秘密</t>
    </r>
  </si>
  <si>
    <t>Document Revision
修订履历</t>
  </si>
  <si>
    <t>Version
版本</t>
  </si>
  <si>
    <t>Date
日期</t>
  </si>
  <si>
    <t>Changes
修订内容</t>
  </si>
  <si>
    <t>Remarks
备注</t>
  </si>
  <si>
    <t>Author
作者</t>
  </si>
  <si>
    <t>审核人</t>
  </si>
  <si>
    <t>批准人</t>
  </si>
  <si>
    <t>初稿</t>
  </si>
  <si>
    <t>\</t>
  </si>
  <si>
    <t>1、实施记录</t>
  </si>
  <si>
    <t>验收城市</t>
  </si>
  <si>
    <t>25个城市</t>
  </si>
  <si>
    <t>验收版本号</t>
  </si>
  <si>
    <t>LG_OneMap_20230630_V1</t>
  </si>
  <si>
    <t>验收里程</t>
  </si>
  <si>
    <t>1311.2（km）</t>
  </si>
  <si>
    <t>验收时间</t>
  </si>
  <si>
    <t>验收人员</t>
  </si>
  <si>
    <t>验收结论</t>
  </si>
  <si>
    <t>通过</t>
  </si>
  <si>
    <t>序号</t>
  </si>
  <si>
    <t>检查大类</t>
  </si>
  <si>
    <t>检查项数量</t>
  </si>
  <si>
    <t>合格项数量</t>
  </si>
  <si>
    <t>不合格项数量</t>
  </si>
  <si>
    <t>说明</t>
  </si>
  <si>
    <t>文件列表检查</t>
  </si>
  <si>
    <t>检查文件夹及里面图层完整性，目前情况：编译暂未上线图层2个，不支持图层2个，部分支持图层1个（未做质量保证），产品不转出图层6个，内容为空图层2个</t>
  </si>
  <si>
    <t>提交范围检查</t>
  </si>
  <si>
    <t>现状按照任务范围框判断数据有无。</t>
  </si>
  <si>
    <t>规格+值域+主外键</t>
  </si>
  <si>
    <t>几何拓扑逻辑检查</t>
  </si>
  <si>
    <t>与现实世界一致性检查</t>
  </si>
  <si>
    <t>2项A为停止线工艺变更（取消虚拟停止线），非高速重点要素，不影响智能驾驶领航功能，后续刷库改善</t>
  </si>
  <si>
    <t>3、图表展示</t>
  </si>
  <si>
    <t>4、说明</t>
  </si>
  <si>
    <t>1）质量标准:量产</t>
  </si>
  <si>
    <t>检查项等级</t>
  </si>
  <si>
    <t>质量标准</t>
  </si>
  <si>
    <t>S</t>
  </si>
  <si>
    <t>A</t>
  </si>
  <si>
    <t>B</t>
  </si>
  <si>
    <t>C</t>
  </si>
  <si>
    <t>2）公式说明</t>
  </si>
  <si>
    <t>人工正确率=1-错误量/(验收数量+遗漏-冗余）*100%</t>
  </si>
  <si>
    <t>检查项代码</t>
  </si>
  <si>
    <t>大类检查项</t>
  </si>
  <si>
    <t>中类检查项</t>
  </si>
  <si>
    <t>小类检查项</t>
  </si>
  <si>
    <t>检查方法</t>
  </si>
  <si>
    <t>检查比例</t>
  </si>
  <si>
    <t>验收数量</t>
  </si>
  <si>
    <t>错误量</t>
  </si>
  <si>
    <t>正确率</t>
  </si>
  <si>
    <t>是否合格</t>
  </si>
  <si>
    <t>备注</t>
  </si>
  <si>
    <t>Filelist</t>
  </si>
  <si>
    <t>唯一性</t>
  </si>
  <si>
    <t>名称唯一</t>
  </si>
  <si>
    <t>人工</t>
  </si>
  <si>
    <t>抽检</t>
  </si>
  <si>
    <t>是</t>
  </si>
  <si>
    <t>完备性</t>
  </si>
  <si>
    <t>文件夹存在完备</t>
  </si>
  <si>
    <t>正确性</t>
  </si>
  <si>
    <t>文件格式正确</t>
  </si>
  <si>
    <t>文件数量正确</t>
  </si>
  <si>
    <t>WZX000001</t>
  </si>
  <si>
    <t>Lane</t>
  </si>
  <si>
    <t>GEOMETRY</t>
  </si>
  <si>
    <t>Lane::GEOMETRY完整性检查</t>
  </si>
  <si>
    <t>检查表名</t>
  </si>
  <si>
    <t>检查字段名</t>
  </si>
  <si>
    <t>检查内容</t>
  </si>
  <si>
    <t>lgmap_lane</t>
  </si>
  <si>
    <t>geometry</t>
  </si>
  <si>
    <t>字段定义检查</t>
  </si>
  <si>
    <t>工具</t>
  </si>
  <si>
    <t>left_divider_id</t>
  </si>
  <si>
    <t>right_divider_id</t>
  </si>
  <si>
    <t>left_chg_lane_id</t>
  </si>
  <si>
    <t>right_chg_lane_id</t>
  </si>
  <si>
    <t>lane_topo_direction</t>
  </si>
  <si>
    <t>length</t>
  </si>
  <si>
    <t>reverse_flag</t>
  </si>
  <si>
    <t>reverse_lane_id</t>
  </si>
  <si>
    <t>category_main</t>
  </si>
  <si>
    <t>category_location</t>
  </si>
  <si>
    <t>category_vehicle</t>
  </si>
  <si>
    <t>category_special</t>
  </si>
  <si>
    <t>virtual_flag</t>
  </si>
  <si>
    <t>oppsite_neighbor</t>
  </si>
  <si>
    <t>injunction_flag</t>
  </si>
  <si>
    <t>cross_flag</t>
  </si>
  <si>
    <t>adcity_code</t>
  </si>
  <si>
    <t>lgmap_lane_divider</t>
  </si>
  <si>
    <t>type</t>
  </si>
  <si>
    <t>additional_type</t>
  </si>
  <si>
    <t>color</t>
  </si>
  <si>
    <t>biflag</t>
  </si>
  <si>
    <t>reverse_id</t>
  </si>
  <si>
    <t>divider_mark</t>
  </si>
  <si>
    <t>lgmap_divider_road_form</t>
  </si>
  <si>
    <t>divider_id</t>
  </si>
  <si>
    <t>kind</t>
  </si>
  <si>
    <t>muti_digitized</t>
  </si>
  <si>
    <t>lgmap_lane_top</t>
  </si>
  <si>
    <t>in_lane_id</t>
  </si>
  <si>
    <t>out_lane_id</t>
  </si>
  <si>
    <t>top_dir</t>
  </si>
  <si>
    <t>cross_type</t>
  </si>
  <si>
    <t>lgmap_junction</t>
  </si>
  <si>
    <t>lane_list</t>
  </si>
  <si>
    <t>lgmap_lane_speed_general</t>
  </si>
  <si>
    <t>lane_id</t>
  </si>
  <si>
    <t>lane_dir</t>
  </si>
  <si>
    <t>max_speed</t>
  </si>
  <si>
    <t>max_speed_src</t>
  </si>
  <si>
    <t>min_speed</t>
  </si>
  <si>
    <t>min_speed_src</t>
  </si>
  <si>
    <t>lgmap_object_line_roadsurface</t>
  </si>
  <si>
    <t>lgmap_object_line_pole</t>
  </si>
  <si>
    <t>lgmap_object_physical_boundary</t>
  </si>
  <si>
    <t>lgmap_object_area_roadsurface</t>
  </si>
  <si>
    <t>lgmap_object_area_overhead</t>
  </si>
  <si>
    <t>lgmap_signal_board</t>
  </si>
  <si>
    <t>heading</t>
  </si>
  <si>
    <t>lgmap_trafficsign</t>
  </si>
  <si>
    <t>shape</t>
  </si>
  <si>
    <t>lgmap_overlap</t>
  </si>
  <si>
    <t>master_id</t>
  </si>
  <si>
    <t>master_type</t>
  </si>
  <si>
    <t>object_id</t>
  </si>
  <si>
    <t>object_type</t>
  </si>
  <si>
    <t>start_offset</t>
  </si>
  <si>
    <t>end_offset</t>
  </si>
  <si>
    <t>start_intersect</t>
  </si>
  <si>
    <t>end_intersect</t>
  </si>
  <si>
    <t>lgmap_object_link</t>
  </si>
  <si>
    <t>link_id</t>
  </si>
  <si>
    <t>lgmap_object_lane</t>
  </si>
  <si>
    <t>lgmap_road</t>
  </si>
  <si>
    <t>reference_line_id</t>
  </si>
  <si>
    <t>s_node_id</t>
  </si>
  <si>
    <t>e_node_id</t>
  </si>
  <si>
    <t>sec_num</t>
  </si>
  <si>
    <t>junction_id</t>
  </si>
  <si>
    <t>direct</t>
  </si>
  <si>
    <t>lane_num</t>
  </si>
  <si>
    <t>lane_s2e</t>
  </si>
  <si>
    <t>lane_e2s</t>
  </si>
  <si>
    <t>access_characteristic</t>
  </si>
  <si>
    <t>function_class</t>
  </si>
  <si>
    <t>const_st</t>
  </si>
  <si>
    <t>lgmap_road_node</t>
  </si>
  <si>
    <t>lgmap_road_form</t>
  </si>
  <si>
    <t>road_id</t>
  </si>
  <si>
    <t>form</t>
  </si>
  <si>
    <t>lgmap_road_section</t>
  </si>
  <si>
    <t>road_id
reference_line_id</t>
  </si>
  <si>
    <t>sec_idx</t>
  </si>
  <si>
    <t>left_bound_id</t>
  </si>
  <si>
    <t>right_bound_id</t>
  </si>
  <si>
    <t>link_laneid</t>
  </si>
  <si>
    <t>toll_info</t>
  </si>
  <si>
    <t>lgmap_road_top</t>
  </si>
  <si>
    <t>from_road</t>
  </si>
  <si>
    <t>to_road</t>
  </si>
  <si>
    <t>record</t>
  </si>
  <si>
    <t>lgmap_reference_line_top</t>
  </si>
  <si>
    <t>from_line</t>
  </si>
  <si>
    <t>to_line</t>
  </si>
  <si>
    <t>sub_type</t>
  </si>
  <si>
    <t>virtual_road</t>
  </si>
  <si>
    <t>road_list</t>
  </si>
  <si>
    <t>seq_num</t>
  </si>
  <si>
    <t>min_width</t>
  </si>
  <si>
    <t>max_width</t>
  </si>
  <si>
    <t>code_flag</t>
  </si>
  <si>
    <t>source</t>
  </si>
  <si>
    <t>width_type</t>
  </si>
  <si>
    <t>ramp_speed_flag</t>
  </si>
  <si>
    <t>auto_id</t>
  </si>
  <si>
    <t>值域检查</t>
  </si>
  <si>
    <t>外键检查</t>
  </si>
  <si>
    <t>id</t>
  </si>
  <si>
    <t>chk_id</t>
  </si>
  <si>
    <t>check_name</t>
  </si>
  <si>
    <t>图层</t>
  </si>
  <si>
    <t>字段</t>
  </si>
  <si>
    <t>标准正确率</t>
  </si>
  <si>
    <t>HDMKLOGIC2602001</t>
  </si>
  <si>
    <t>lgmap_Reference_line_top::from_line前后继拓扑检查</t>
  </si>
  <si>
    <t>lgmap_Reference_line_top</t>
  </si>
  <si>
    <t>HDMKLOGIC2710003</t>
  </si>
  <si>
    <t>lgmap_road::direct道路方向合理性检查2</t>
  </si>
  <si>
    <t>HDMKLOGIC2702003</t>
  </si>
  <si>
    <t>lgmap_road::geometry道路几何完备性检查3</t>
  </si>
  <si>
    <t>HDMKLOGIC2702016</t>
  </si>
  <si>
    <t>lgmap_road::geometry位置检查</t>
  </si>
  <si>
    <t>HDMKLOGIC2708014</t>
  </si>
  <si>
    <t>lgmap_road::kind道路种别合理性检查13</t>
  </si>
  <si>
    <t>HDMKLOGIC2708017</t>
  </si>
  <si>
    <t>lgmap_road::kind道路种别合理性检查16</t>
  </si>
  <si>
    <t>HDMKLOGIC2708008</t>
  </si>
  <si>
    <t>lgmap_road::kind道路种别合理性检查6</t>
  </si>
  <si>
    <t>HDMKLOGIC2711014</t>
  </si>
  <si>
    <t>lgmap_road::lane_num车道数合理性检查2</t>
  </si>
  <si>
    <t>HDMKLOGIC2711010</t>
  </si>
  <si>
    <t>lgmap_road::lane_num道路总车道数检查</t>
  </si>
  <si>
    <t>HDMKLOGIC2802002</t>
  </si>
  <si>
    <t>lgmap_road_node::geometryid编号在道路中不存在</t>
  </si>
  <si>
    <t>HDMKLOGIC2802001</t>
  </si>
  <si>
    <t>lgmap_road_node::geometry几何重复检查</t>
  </si>
  <si>
    <t>HDMKLOGIC3802007</t>
  </si>
  <si>
    <t>lgmap_road_section::geometry面内存在杆错误</t>
  </si>
  <si>
    <t>常规限速值为0时,来源非不应用报错；常规限速值非0时,来源为不应用报错。（一次质检报）</t>
  </si>
  <si>
    <t>max_speed_src/min_speed_src</t>
  </si>
  <si>
    <t>MKLOGIC0602010</t>
  </si>
  <si>
    <t>车道数变化区域的路口功能面正确性检查</t>
  </si>
  <si>
    <t>HDMKLOGIC010632</t>
  </si>
  <si>
    <t>车道中心线的可右变同向车道ID正确性检查</t>
  </si>
  <si>
    <t>HDMKLOGIC010531</t>
  </si>
  <si>
    <t>车道中心线的可左变同向车道ID正确性检查</t>
  </si>
  <si>
    <t>HDMKLOGIC0133044</t>
  </si>
  <si>
    <t>车道中心线的最大宽度正确性检查</t>
  </si>
  <si>
    <t>MKLOGIC0102007</t>
  </si>
  <si>
    <t>车道中心线孤立检查</t>
  </si>
  <si>
    <t>HDMKLOGIC0316019</t>
  </si>
  <si>
    <t>车道中心线关联的左右边线长度不一致检查</t>
  </si>
  <si>
    <t>HDMKLOGIC0505007</t>
  </si>
  <si>
    <t>车道中心线汇车类型制作正确性检查</t>
  </si>
  <si>
    <t>HDMKLOGIC0905007</t>
  </si>
  <si>
    <t>车道最高常规限速与交通标牌限速不一致检查</t>
  </si>
  <si>
    <t>HDMKLOGIC0906001</t>
  </si>
  <si>
    <t>车道最高限速来源错误</t>
  </si>
  <si>
    <t>HDMKLOGIC0303002</t>
  </si>
  <si>
    <t>导流区边线附加属性检查</t>
  </si>
  <si>
    <t>MKLOGIC2204022</t>
  </si>
  <si>
    <t>导流区与中心线的建立关系正确性检查</t>
  </si>
  <si>
    <t>MKLOGIC2204025</t>
  </si>
  <si>
    <t>导向箭头与中心线的建立关系正确性检查</t>
  </si>
  <si>
    <t>HDMKLOGIC1402016</t>
  </si>
  <si>
    <t>道路边界分隔线必须被物理隔离关联检查</t>
  </si>
  <si>
    <t>HDMKLOGIC0309007</t>
  </si>
  <si>
    <t>道路级车道类型同组赋值检查</t>
  </si>
  <si>
    <t>MKLOGIC2204021</t>
  </si>
  <si>
    <t>地面文字与中心线的建立关系正确性检查</t>
  </si>
  <si>
    <t>HDMKLOGIC1402014</t>
  </si>
  <si>
    <t>非虚拟物理隔离和分隔线打断检查</t>
  </si>
  <si>
    <t>HDMKLOGIC0302010</t>
  </si>
  <si>
    <t>分隔线类型所在位置检查4</t>
  </si>
  <si>
    <t>HDMKLOGIC0316033</t>
  </si>
  <si>
    <t>分隔线首点在行政区划内检查</t>
  </si>
  <si>
    <t>MKLOGIC1302007</t>
  </si>
  <si>
    <t>杆对象间距离过近检查</t>
  </si>
  <si>
    <t>MKLOGIC2204034</t>
  </si>
  <si>
    <t>杆状物对象的关系应在同一个道路路段检查</t>
  </si>
  <si>
    <t>MKLOGIC2204012</t>
  </si>
  <si>
    <t>杆状物对象未与参考线的建立关系</t>
  </si>
  <si>
    <t>MKLOGIC2204019</t>
  </si>
  <si>
    <t>杆状物对象与中心线的建立关系正确性检查</t>
  </si>
  <si>
    <t>HDMKLOGIC0907001</t>
  </si>
  <si>
    <t>高速本线线限速最低限速检查</t>
  </si>
  <si>
    <t>HDMKLOGIC0309022</t>
  </si>
  <si>
    <t>高速连接匝道后继车道类型检查</t>
  </si>
  <si>
    <t>HDMKLOGIC0309021</t>
  </si>
  <si>
    <t>高速连接匝道前继车道类型检查</t>
  </si>
  <si>
    <t>几何检查：线的长度必须为正，且不能自相交；面的面积必须为正，且不能自相交。</t>
  </si>
  <si>
    <t>HDMKLOGIC0309024</t>
  </si>
  <si>
    <t>加速车道前继车道类型检查</t>
  </si>
  <si>
    <t>检查是否有两个junction相交</t>
  </si>
  <si>
    <t>检查物理隔离对象的几何关系</t>
  </si>
  <si>
    <t>HDMKLOGIC0309023</t>
  </si>
  <si>
    <t>减速车道后继车道类型检查</t>
  </si>
  <si>
    <t>MKLOGIC2204026</t>
  </si>
  <si>
    <t>减速带与中心线的建立关系正确性检查</t>
  </si>
  <si>
    <t>HDMKLOGIC2403009</t>
  </si>
  <si>
    <t>建立关系的地面面要素非数字类检查</t>
  </si>
  <si>
    <t>MKLOGIC2204037</t>
  </si>
  <si>
    <t>交通标牌对象的关系应在同一个道路路段检查</t>
  </si>
  <si>
    <t>MKLOGIC2204017</t>
  </si>
  <si>
    <t>交通标牌对象未与参考线的建立关系</t>
  </si>
  <si>
    <t>HDMKLOGIC2304007</t>
  </si>
  <si>
    <t>交通标牌对象未与参考线建立关系</t>
  </si>
  <si>
    <t>MKLOGIC2202010</t>
  </si>
  <si>
    <t>交通标牌对象未与中心线的建立关系</t>
  </si>
  <si>
    <t>MKLOGIC2204032</t>
  </si>
  <si>
    <t>交通标牌对象与中心线的建立关系正确性检查</t>
  </si>
  <si>
    <t>MKLOGIC2404007</t>
  </si>
  <si>
    <t>交通标牌关系应在同一个道路路段检查</t>
  </si>
  <si>
    <t>HDMKLOGIC2102002</t>
  </si>
  <si>
    <t>交通标志画线方向检查</t>
  </si>
  <si>
    <t>MKLOGIC2204031</t>
  </si>
  <si>
    <t>交通信号灯灯板与中心线的建立关系正确性检查</t>
  </si>
  <si>
    <t>MKLOGIC2204014</t>
  </si>
  <si>
    <t>路面面对象未与参考线的建立关系</t>
  </si>
  <si>
    <t>MKLOGIC2202005</t>
  </si>
  <si>
    <t>路面面对象未与中心线的建立关系</t>
  </si>
  <si>
    <t>MKLOGIC2204018</t>
  </si>
  <si>
    <t>路面线对象与中心线的建立关系正确性检查</t>
  </si>
  <si>
    <t>MKLOGIC2204015</t>
  </si>
  <si>
    <t>路上面对象未与参考线的建立关系</t>
  </si>
  <si>
    <t>MKLOGIC2204029</t>
  </si>
  <si>
    <t>路上面对象与中心线的建立关系正确性检查</t>
  </si>
  <si>
    <t>HDMKLOGIC0309020</t>
  </si>
  <si>
    <t>普通路连接匝道后继车道类型检查</t>
  </si>
  <si>
    <t>HDMKLOGIC0309019</t>
  </si>
  <si>
    <t>普通路连接匝道前继车道类型检查</t>
  </si>
  <si>
    <t>MKLOGIC2204027</t>
  </si>
  <si>
    <t>人行横道与中心线的建立关系正确性检查</t>
  </si>
  <si>
    <t>HDMKLOGIC0907006</t>
  </si>
  <si>
    <t>特殊车道类型的最低常规限速应为0检查</t>
  </si>
  <si>
    <t>HDMKLOGIC0905005</t>
  </si>
  <si>
    <t>特殊车道类型的最高限速应为0检查</t>
  </si>
  <si>
    <t>HDMKLOGIC1402017</t>
  </si>
  <si>
    <t>物理隔离部分重复检查</t>
  </si>
  <si>
    <t>MKLOGIC2204013</t>
  </si>
  <si>
    <t>物理隔离对象未与参考线的建立关系</t>
  </si>
  <si>
    <t>MKLOGIC2202004</t>
  </si>
  <si>
    <t>物理隔离对象未与中心线的建立关系</t>
  </si>
  <si>
    <t>MKLOGIC2204020</t>
  </si>
  <si>
    <t>物理隔离对象与中心线的建立关系正确性检查</t>
  </si>
  <si>
    <t>HDMKLOGIC1402024</t>
  </si>
  <si>
    <t>物理隔离关联分隔线间投影点连续性检查</t>
  </si>
  <si>
    <t>HDMKLOGIC1402023</t>
  </si>
  <si>
    <t>物理隔离关联分隔线内投影点连续性检查</t>
  </si>
  <si>
    <t>HDMKLOGIC0905021</t>
  </si>
  <si>
    <t>限速值跳变1</t>
  </si>
  <si>
    <t>HDMKLOGIC0131054</t>
  </si>
  <si>
    <t>消亡车道的正确性检查</t>
  </si>
  <si>
    <t>trantype</t>
  </si>
  <si>
    <t>HDMKLOGIC0131052</t>
  </si>
  <si>
    <t>新生车道的正确性检查</t>
  </si>
  <si>
    <t>HDMKLOGIC2104003</t>
  </si>
  <si>
    <t>匝道位置限速值异常检查</t>
  </si>
  <si>
    <t>HDMKLOGIC0905015</t>
  </si>
  <si>
    <t>匝道限速值过小异常</t>
  </si>
  <si>
    <t>HDMKLOGIC0905023</t>
  </si>
  <si>
    <t>车道的最高限速值应该大于等于最低限速检查</t>
  </si>
  <si>
    <t>HDMKLOGIC011837</t>
  </si>
  <si>
    <t>车道中心线的对向可逆lane正确性检查</t>
  </si>
  <si>
    <t>HDMKLOGIC0907003</t>
  </si>
  <si>
    <t>车道最低常规限速与交通标牌限速不一致检查</t>
  </si>
  <si>
    <t>HDMKLOGIC0302016</t>
  </si>
  <si>
    <t>加减速车道左边线车道线类型检查</t>
  </si>
  <si>
    <t>HDMKLOGIC0309025</t>
  </si>
  <si>
    <t>加速或减速车道类型疑似错误检查</t>
  </si>
  <si>
    <t>MKLOGIC2204036</t>
  </si>
  <si>
    <t>交通信号灯灯板的关系应在同一个道路路段检查</t>
  </si>
  <si>
    <t>HDMKLOGIC0905020</t>
  </si>
  <si>
    <t>限速值跳变</t>
  </si>
  <si>
    <t>HDMKLOGIC0905014</t>
  </si>
  <si>
    <t>匝道限速值过大异常</t>
  </si>
  <si>
    <t>MKLOGIC0102072</t>
  </si>
  <si>
    <t>中心线之间的折角不应该小于165度检查</t>
  </si>
  <si>
    <t>HDMKLOGIC0907005</t>
  </si>
  <si>
    <t>最低限速的最左侧限速应大于等于右侧限速检查</t>
  </si>
  <si>
    <t>HDMKLOGIC0905004</t>
  </si>
  <si>
    <t>最高限速的最左侧限速应大于等于右侧限速检查</t>
  </si>
  <si>
    <t>HDMKLOGIC2705001</t>
  </si>
  <si>
    <t>lgmap_road::e_node_id关联后继roadnode检查</t>
  </si>
  <si>
    <t>HDMKLOGIC2702012</t>
  </si>
  <si>
    <t>lgmap_road::geometry道路种别合理性检查18</t>
  </si>
  <si>
    <t>HDMKLOGIC2702013</t>
  </si>
  <si>
    <t>lgmap_road::geometry道路种别合理性检查19</t>
  </si>
  <si>
    <t>HDMKLOGIC2708011</t>
  </si>
  <si>
    <t>lgmap_road::kind道路种别合理性检查10</t>
  </si>
  <si>
    <t>HDMKLOGIC2708009</t>
  </si>
  <si>
    <t>lgmap_road::kind道路种别合理性检查8</t>
  </si>
  <si>
    <t>HDMKLOGIC2704001</t>
  </si>
  <si>
    <t>lgmap_road::s_node_id关联前继roadnode检查</t>
  </si>
  <si>
    <t>HDMKLOGIC3802003</t>
  </si>
  <si>
    <t>lgmap_road_section::geometry合理性检查2</t>
  </si>
  <si>
    <t>HDMKLOGIC3808003</t>
  </si>
  <si>
    <t>lgmap_road_section::link_laneid道路路段对应车道检查</t>
  </si>
  <si>
    <t>HDMKLOGIC2902002</t>
  </si>
  <si>
    <t>lgmap_road_top::from_road道路拓扑关系遗漏</t>
  </si>
  <si>
    <t>HDMKLOGIC2902001</t>
  </si>
  <si>
    <t>lgmap_road_top::from_road前后继拓扑连通检查</t>
  </si>
  <si>
    <t>车道分隔线是双向的,前后咬合的车道分隔线应该也是双向</t>
  </si>
  <si>
    <t>HDMKLOGIC0309026</t>
  </si>
  <si>
    <t>车道类型穿串检查</t>
  </si>
  <si>
    <t>HDMKLOGIC0133045</t>
  </si>
  <si>
    <t>车道中心线距离左右车道线距离检查</t>
  </si>
  <si>
    <t>MKLOGIC0101060</t>
  </si>
  <si>
    <t>车道中心线三挂一检查</t>
  </si>
  <si>
    <t>HDMKLOGIC0905018</t>
  </si>
  <si>
    <t>城快主路限速值过小</t>
  </si>
  <si>
    <t>MKLOGIC1502013</t>
  </si>
  <si>
    <t>导流区面遗漏检查</t>
  </si>
  <si>
    <t>HDMKLOGIC2304006</t>
  </si>
  <si>
    <t>对象关联道路表中交通信号灯灯板未与参考线建立关系</t>
  </si>
  <si>
    <t>HDMKLOGIC1402025</t>
  </si>
  <si>
    <t>非虚拟物理隔离与分隔线打断2</t>
  </si>
  <si>
    <t>HDMKLOGIC2104001</t>
  </si>
  <si>
    <t>高速本线最高限速异常检查</t>
  </si>
  <si>
    <t>HDMKLOGIC0905017</t>
  </si>
  <si>
    <t>高速主路限速值过小</t>
  </si>
  <si>
    <t>MKLOGIC0113066</t>
  </si>
  <si>
    <t>加减速车道的车道编号应该大于等于2检查</t>
  </si>
  <si>
    <t>检查物理隔离对象的几何关系type=9</t>
  </si>
  <si>
    <t>检查中心线间的几何连接关系。</t>
  </si>
  <si>
    <t>路口功能面正确性检查</t>
  </si>
  <si>
    <t>HDMKLOGIC2304001</t>
  </si>
  <si>
    <t>路面线对象未与参考线建立关系</t>
  </si>
  <si>
    <t>HDMKLOGIC0310004</t>
  </si>
  <si>
    <t>普通路上不能存在车道类型检查</t>
  </si>
  <si>
    <t>MKLOGIC0113067</t>
  </si>
  <si>
    <t>收费站的复合属性遗漏检查</t>
  </si>
  <si>
    <t>物理隔离对象（防护栏、虚拟线除外）和车道分隔线是否相交，如果相交则报错。</t>
  </si>
  <si>
    <t>MKLOGIC0602012</t>
  </si>
  <si>
    <t>匝道分匝道处路口功能面类型为出入口类型正确性检查</t>
  </si>
  <si>
    <t>HDMKLOGIC0501006</t>
  </si>
  <si>
    <t>参考线连接关系与车道中心线连接关系关联检查</t>
  </si>
  <si>
    <t>HDMKLOGIC0302012</t>
  </si>
  <si>
    <t>车道分隔线类型检查6</t>
  </si>
  <si>
    <t>HDMKLOGIC0304003</t>
  </si>
  <si>
    <t>车道分隔线颜色检查3</t>
  </si>
  <si>
    <t>HDMKLOGIC0101042</t>
  </si>
  <si>
    <t>车道中心线的挂接错误</t>
  </si>
  <si>
    <t>HDMKLOGIC2304004</t>
  </si>
  <si>
    <t>对象关联道路表中路面面对象未与参考线建立关系</t>
  </si>
  <si>
    <t>分隔线之间角度检查</t>
  </si>
  <si>
    <t>检查交通标牌的几何关系</t>
  </si>
  <si>
    <t>检查元素空间关系表元素类型对应关系</t>
  </si>
  <si>
    <t>MKLOGIC2403012</t>
  </si>
  <si>
    <t>建立关系的限速类文字值域关联正确性检查</t>
  </si>
  <si>
    <t>MKLOGIC1502011</t>
  </si>
  <si>
    <t>路面面对象离路面过远检查</t>
  </si>
  <si>
    <t>HDMKLOGIC0905012</t>
  </si>
  <si>
    <t>隧道最高限速值异常</t>
  </si>
  <si>
    <t>HDMKLOGIC0905022</t>
  </si>
  <si>
    <t>线限速最高限速值不应为多个</t>
  </si>
  <si>
    <t>字段名称</t>
  </si>
  <si>
    <t>错误子类</t>
  </si>
  <si>
    <t>重要等级</t>
  </si>
  <si>
    <t>求和项:总量</t>
  </si>
  <si>
    <t>求和项:错误数</t>
  </si>
  <si>
    <t>车道分隔线表</t>
  </si>
  <si>
    <t>车道类型-所处位置</t>
  </si>
  <si>
    <t>车道分隔线表::车道类型-所处位置错误</t>
  </si>
  <si>
    <t>车道类型-特殊属性</t>
  </si>
  <si>
    <t>车道分隔线表::车道类型-特殊属性错误</t>
  </si>
  <si>
    <t>车道主类型</t>
  </si>
  <si>
    <t>车道分隔线表::车道主类型错误</t>
  </si>
  <si>
    <t>分隔线附加属性</t>
  </si>
  <si>
    <t>车道分隔线表::分隔线附加属性错误</t>
  </si>
  <si>
    <t>分隔线类型</t>
  </si>
  <si>
    <t>车道分隔线表::分隔线类型错误</t>
  </si>
  <si>
    <t>分隔线颜色</t>
  </si>
  <si>
    <t>车道分隔线表::分隔线颜色错误</t>
  </si>
  <si>
    <t>线坐标序列</t>
  </si>
  <si>
    <t>车道分隔线表::线坐标序列打断位置错误</t>
  </si>
  <si>
    <t>车道分隔线表::线坐标序列拓扑连接错误</t>
  </si>
  <si>
    <t>车道中线坐标序列</t>
  </si>
  <si>
    <t>车道分隔线表::线坐标序列位置精度错误</t>
  </si>
  <si>
    <t>车道分隔线表::线坐标序列遗漏</t>
  </si>
  <si>
    <t>车道分隔线附加道路属性表</t>
  </si>
  <si>
    <t>道路形态</t>
  </si>
  <si>
    <t>车道分隔线附加道路属性表::道路形态错误</t>
  </si>
  <si>
    <t>车道中心线主表</t>
  </si>
  <si>
    <t>车道中心线主表::车道中线坐标序列位置精度错误</t>
  </si>
  <si>
    <t>对象关联车道表</t>
  </si>
  <si>
    <t>对象号码</t>
  </si>
  <si>
    <t>对象关联车道表::对象号码错误</t>
  </si>
  <si>
    <t>关联的车道分隔线ID</t>
  </si>
  <si>
    <t>对象关联车道表::关联的车道分隔线ID错误</t>
  </si>
  <si>
    <t>关联号码</t>
  </si>
  <si>
    <t>对象关联车道表::关联号码冗余</t>
  </si>
  <si>
    <t>对象关联车道表::关联号码遗漏</t>
  </si>
  <si>
    <t>交通标牌表</t>
  </si>
  <si>
    <t>朝向</t>
  </si>
  <si>
    <t>交通标牌表::朝向错误</t>
  </si>
  <si>
    <t>类型</t>
  </si>
  <si>
    <t>交通标牌表::类型错误</t>
  </si>
  <si>
    <t>面坐标序列</t>
  </si>
  <si>
    <t>交通标牌表::面坐标序列点序错误</t>
  </si>
  <si>
    <t>交通标牌表::面坐标序列冗余</t>
  </si>
  <si>
    <t>交通标牌表::面坐标序列位置精度错误</t>
  </si>
  <si>
    <t>交通标牌表::面坐标序列遗漏</t>
  </si>
  <si>
    <t>是否匝道限速</t>
  </si>
  <si>
    <t>交通标牌表::子类型错误</t>
  </si>
  <si>
    <t>交通信号灯灯板表</t>
  </si>
  <si>
    <t>灯板类型</t>
  </si>
  <si>
    <t>交通信号灯灯板表::灯板类型错误</t>
  </si>
  <si>
    <t>交通信号灯灯板表::面坐标序列冗余</t>
  </si>
  <si>
    <t>交通信号灯灯板表::面坐标序列遗漏</t>
  </si>
  <si>
    <t>路口功能面表</t>
  </si>
  <si>
    <t>路口功能面表::类型错误</t>
  </si>
  <si>
    <t>面几何</t>
  </si>
  <si>
    <t>路口功能面表::面几何冗余</t>
  </si>
  <si>
    <t>路口功能面表::面几何位置精度错误</t>
  </si>
  <si>
    <t>路口功能面表::面几何遗漏</t>
  </si>
  <si>
    <t>路面面对象表</t>
  </si>
  <si>
    <t>路面面对象表::类型错误</t>
  </si>
  <si>
    <t>路面面对象表::面坐标序列冗余</t>
  </si>
  <si>
    <t>路面面对象表::面坐标序列位置精度错误</t>
  </si>
  <si>
    <t>路面面对象表::面坐标序列遗漏</t>
  </si>
  <si>
    <t>内容</t>
  </si>
  <si>
    <t>路面面对象表::内容错误</t>
  </si>
  <si>
    <t>子类型</t>
  </si>
  <si>
    <t>路面面对象表::子类型错误</t>
  </si>
  <si>
    <t>路面线对象表</t>
  </si>
  <si>
    <t>路面线对象表::线坐标序列冗余</t>
  </si>
  <si>
    <t>路面线对象表::线坐标序列遗漏</t>
  </si>
  <si>
    <t>路上面对象表</t>
  </si>
  <si>
    <t>路上面对象表::类型错误</t>
  </si>
  <si>
    <t>路上面对象表::面坐标序列点序错误</t>
  </si>
  <si>
    <t>路上面对象表::面坐标序列冗余</t>
  </si>
  <si>
    <t>路上面对象表::面坐标序列位置精度错误</t>
  </si>
  <si>
    <t>路上面对象表::面坐标序列遗漏</t>
  </si>
  <si>
    <t>路上面对象表::子类型错误</t>
  </si>
  <si>
    <t>物理隔离对象表</t>
  </si>
  <si>
    <t>物理隔离对象表::类型错误</t>
  </si>
  <si>
    <t>物理隔离对象表::线坐标序列打断错误</t>
  </si>
  <si>
    <t>物理隔离对象表::线坐标序列冗余</t>
  </si>
  <si>
    <t>物理隔离对象表::线坐标序列位置精度错误</t>
  </si>
  <si>
    <t>物理隔离对象表::线坐标序列遗漏</t>
  </si>
  <si>
    <t>物理隔离对象表::子类型错误</t>
  </si>
</sst>
</file>

<file path=xl/styles.xml><?xml version="1.0" encoding="utf-8"?>
<styleSheet xmlns="http://schemas.openxmlformats.org/spreadsheetml/2006/main">
  <numFmts count="8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F800]dddd\,\ mmmm\ dd\,\ yyyy"/>
    <numFmt numFmtId="177" formatCode="0_ "/>
    <numFmt numFmtId="178" formatCode="0.000%"/>
    <numFmt numFmtId="179" formatCode="yyyy&quot;年&quot;m&quot;月&quot;d&quot;日&quot;;@"/>
  </numFmts>
  <fonts count="45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9"/>
      <name val="微软雅黑"/>
      <charset val="134"/>
    </font>
    <font>
      <b/>
      <sz val="9"/>
      <name val="微软雅黑"/>
      <charset val="134"/>
    </font>
    <font>
      <sz val="9"/>
      <color rgb="FF000000"/>
      <name val="微软雅黑"/>
      <charset val="134"/>
    </font>
    <font>
      <sz val="9"/>
      <color theme="1"/>
      <name val="微软雅黑"/>
      <charset val="134"/>
    </font>
    <font>
      <strike/>
      <sz val="9"/>
      <color rgb="FF000000"/>
      <name val="微软雅黑"/>
      <charset val="134"/>
    </font>
    <font>
      <b/>
      <sz val="9"/>
      <color theme="1"/>
      <name val="微软雅黑"/>
      <charset val="134"/>
    </font>
    <font>
      <sz val="9"/>
      <name val="宋体"/>
      <charset val="134"/>
    </font>
    <font>
      <sz val="9"/>
      <color theme="1"/>
      <name val="宋体"/>
      <charset val="134"/>
      <scheme val="minor"/>
    </font>
    <font>
      <sz val="9"/>
      <color indexed="23"/>
      <name val="宋体"/>
      <charset val="134"/>
    </font>
    <font>
      <sz val="9"/>
      <color theme="1" tint="0.499984740745262"/>
      <name val="宋体"/>
      <charset val="134"/>
    </font>
    <font>
      <b/>
      <sz val="9"/>
      <color indexed="8"/>
      <name val="微软雅黑"/>
      <charset val="134"/>
    </font>
    <font>
      <sz val="9"/>
      <color indexed="8"/>
      <name val="微软雅黑"/>
      <charset val="134"/>
    </font>
    <font>
      <sz val="10"/>
      <name val="宋体"/>
      <charset val="134"/>
    </font>
    <font>
      <sz val="10"/>
      <color indexed="23"/>
      <name val="宋体"/>
      <charset val="134"/>
    </font>
    <font>
      <sz val="10"/>
      <color theme="1" tint="0.499984740745262"/>
      <name val="宋体"/>
      <charset val="134"/>
    </font>
    <font>
      <b/>
      <sz val="20"/>
      <name val="微软雅黑"/>
      <charset val="134"/>
    </font>
    <font>
      <sz val="36"/>
      <name val="宋体"/>
      <charset val="134"/>
      <scheme val="minor"/>
    </font>
    <font>
      <sz val="11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indexed="8"/>
      <name val="宋体"/>
      <charset val="134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2"/>
      <name val="宋体"/>
      <charset val="134"/>
    </font>
    <font>
      <sz val="9"/>
      <color theme="1" tint="0.499984740745262"/>
      <name val="Tahoma"/>
      <charset val="134"/>
    </font>
    <font>
      <sz val="10"/>
      <color theme="1" tint="0.499984740745262"/>
      <name val="Tahoma"/>
      <charset val="134"/>
    </font>
    <font>
      <b/>
      <sz val="9"/>
      <name val="宋体"/>
      <charset val="134"/>
    </font>
    <font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8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 style="thin">
        <color indexed="23"/>
      </bottom>
      <diagonal/>
    </border>
    <border>
      <left/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5" borderId="0" applyNumberFormat="0" applyBorder="0" applyAlignment="0" applyProtection="0">
      <alignment vertical="center"/>
    </xf>
    <xf numFmtId="0" fontId="21" fillId="6" borderId="23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0" fillId="10" borderId="24" applyNumberFormat="0" applyFont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6" fontId="0" fillId="0" borderId="0"/>
    <xf numFmtId="0" fontId="30" fillId="0" borderId="25" applyNumberFormat="0" applyFill="0" applyAlignment="0" applyProtection="0">
      <alignment vertical="center"/>
    </xf>
    <xf numFmtId="176" fontId="0" fillId="0" borderId="0"/>
    <xf numFmtId="0" fontId="31" fillId="0" borderId="25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6" fillId="0" borderId="26" applyNumberFormat="0" applyFill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32" fillId="14" borderId="27" applyNumberFormat="0" applyAlignment="0" applyProtection="0">
      <alignment vertical="center"/>
    </xf>
    <xf numFmtId="0" fontId="33" fillId="14" borderId="23" applyNumberFormat="0" applyAlignment="0" applyProtection="0">
      <alignment vertical="center"/>
    </xf>
    <xf numFmtId="0" fontId="34" fillId="0" borderId="0">
      <alignment vertical="center"/>
    </xf>
    <xf numFmtId="0" fontId="35" fillId="15" borderId="28" applyNumberFormat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36" fillId="0" borderId="29" applyNumberFormat="0" applyFill="0" applyAlignment="0" applyProtection="0">
      <alignment vertical="center"/>
    </xf>
    <xf numFmtId="0" fontId="37" fillId="0" borderId="30" applyNumberFormat="0" applyFill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0" fillId="0" borderId="0">
      <alignment vertical="center"/>
    </xf>
    <xf numFmtId="0" fontId="23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40" fillId="0" borderId="0">
      <alignment vertical="center"/>
    </xf>
  </cellStyleXfs>
  <cellXfs count="103">
    <xf numFmtId="0" fontId="0" fillId="0" borderId="0" xfId="0">
      <alignment vertical="center"/>
    </xf>
    <xf numFmtId="10" fontId="0" fillId="0" borderId="0" xfId="11" applyNumberFormat="1">
      <alignment vertical="center"/>
    </xf>
    <xf numFmtId="0" fontId="1" fillId="2" borderId="1" xfId="0" applyFont="1" applyFill="1" applyBorder="1">
      <alignment vertical="center"/>
    </xf>
    <xf numFmtId="0" fontId="0" fillId="0" borderId="1" xfId="0" applyBorder="1">
      <alignment vertical="center"/>
    </xf>
    <xf numFmtId="9" fontId="0" fillId="0" borderId="1" xfId="0" applyNumberFormat="1" applyBorder="1">
      <alignment vertical="center"/>
    </xf>
    <xf numFmtId="10" fontId="0" fillId="0" borderId="1" xfId="0" applyNumberFormat="1" applyFont="1" applyFill="1" applyBorder="1" applyAlignment="1">
      <alignment vertical="center"/>
    </xf>
    <xf numFmtId="10" fontId="1" fillId="2" borderId="1" xfId="11" applyNumberFormat="1" applyFont="1" applyFill="1" applyBorder="1">
      <alignment vertical="center"/>
    </xf>
    <xf numFmtId="10" fontId="0" fillId="0" borderId="1" xfId="11" applyNumberFormat="1" applyBorder="1">
      <alignment vertical="center"/>
    </xf>
    <xf numFmtId="0" fontId="2" fillId="0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0" borderId="0" xfId="0" applyFont="1" applyFill="1">
      <alignment vertical="center"/>
    </xf>
    <xf numFmtId="0" fontId="2" fillId="0" borderId="0" xfId="0" applyFont="1" applyFill="1" applyAlignment="1">
      <alignment vertical="center"/>
    </xf>
    <xf numFmtId="0" fontId="2" fillId="0" borderId="1" xfId="0" applyFont="1" applyFill="1" applyBorder="1">
      <alignment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19" applyNumberFormat="1" applyFont="1" applyFill="1" applyBorder="1" applyAlignment="1">
      <alignment horizontal="left" vertical="center" wrapText="1"/>
    </xf>
    <xf numFmtId="9" fontId="3" fillId="2" borderId="1" xfId="11" applyFont="1" applyFill="1" applyBorder="1" applyAlignment="1" applyProtection="1">
      <alignment horizontal="left" vertical="center" wrapText="1"/>
    </xf>
    <xf numFmtId="0" fontId="2" fillId="0" borderId="1" xfId="0" applyFont="1" applyFill="1" applyBorder="1" applyAlignment="1">
      <alignment horizontal="left" vertical="center" wrapText="1"/>
    </xf>
    <xf numFmtId="9" fontId="2" fillId="0" borderId="1" xfId="0" applyNumberFormat="1" applyFont="1" applyFill="1" applyBorder="1" applyAlignment="1">
      <alignment horizontal="left" vertical="center" wrapText="1"/>
    </xf>
    <xf numFmtId="10" fontId="2" fillId="0" borderId="1" xfId="0" applyNumberFormat="1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77" fontId="2" fillId="0" borderId="1" xfId="0" applyNumberFormat="1" applyFont="1" applyFill="1" applyBorder="1" applyAlignment="1">
      <alignment horizontal="left" vertical="center"/>
    </xf>
    <xf numFmtId="10" fontId="2" fillId="0" borderId="1" xfId="11" applyNumberFormat="1" applyFont="1" applyFill="1" applyBorder="1">
      <alignment vertical="center"/>
    </xf>
    <xf numFmtId="0" fontId="0" fillId="0" borderId="1" xfId="0" applyBorder="1" applyAlignment="1">
      <alignment horizontal="left" vertical="center"/>
    </xf>
    <xf numFmtId="178" fontId="2" fillId="0" borderId="1" xfId="11" applyNumberFormat="1" applyFont="1" applyFill="1" applyBorder="1">
      <alignment vertical="center"/>
    </xf>
    <xf numFmtId="0" fontId="5" fillId="0" borderId="1" xfId="0" applyFont="1" applyBorder="1">
      <alignment vertical="center"/>
    </xf>
    <xf numFmtId="9" fontId="4" fillId="0" borderId="1" xfId="0" applyNumberFormat="1" applyFont="1" applyBorder="1" applyAlignment="1">
      <alignment horizontal="left" vertical="center" wrapText="1"/>
    </xf>
    <xf numFmtId="10" fontId="3" fillId="2" borderId="1" xfId="11" applyNumberFormat="1" applyFont="1" applyFill="1" applyBorder="1" applyAlignment="1">
      <alignment horizontal="left" vertical="center" wrapText="1"/>
    </xf>
    <xf numFmtId="9" fontId="5" fillId="0" borderId="1" xfId="0" applyNumberFormat="1" applyFont="1" applyBorder="1">
      <alignment vertical="center"/>
    </xf>
    <xf numFmtId="10" fontId="5" fillId="0" borderId="1" xfId="11" applyNumberFormat="1" applyFont="1" applyBorder="1">
      <alignment vertical="center"/>
    </xf>
    <xf numFmtId="0" fontId="6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/>
    </xf>
    <xf numFmtId="0" fontId="2" fillId="0" borderId="1" xfId="21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76" fontId="2" fillId="0" borderId="1" xfId="21" applyFont="1" applyFill="1" applyBorder="1" applyAlignment="1">
      <alignment horizontal="left" vertical="center"/>
    </xf>
    <xf numFmtId="9" fontId="2" fillId="0" borderId="1" xfId="11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 wrapText="1"/>
    </xf>
    <xf numFmtId="9" fontId="2" fillId="0" borderId="1" xfId="11" applyFont="1" applyFill="1" applyBorder="1" applyAlignment="1">
      <alignment horizontal="center" vertical="center" wrapText="1"/>
    </xf>
    <xf numFmtId="0" fontId="2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/>
    </xf>
    <xf numFmtId="0" fontId="7" fillId="4" borderId="0" xfId="0" applyFont="1" applyFill="1" applyAlignment="1">
      <alignment horizontal="left" vertical="center"/>
    </xf>
    <xf numFmtId="0" fontId="5" fillId="4" borderId="0" xfId="0" applyFont="1" applyFill="1" applyAlignment="1">
      <alignment vertical="center"/>
    </xf>
    <xf numFmtId="0" fontId="5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14" fontId="5" fillId="0" borderId="1" xfId="0" applyNumberFormat="1" applyFont="1" applyFill="1" applyBorder="1" applyAlignment="1">
      <alignment horizontal="left" vertical="center"/>
    </xf>
    <xf numFmtId="0" fontId="5" fillId="0" borderId="0" xfId="0" applyFont="1" applyFill="1" applyBorder="1" applyAlignment="1">
      <alignment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4" xfId="0" applyFont="1" applyFill="1" applyBorder="1" applyAlignment="1">
      <alignment horizontal="center" vertical="center"/>
    </xf>
    <xf numFmtId="0" fontId="5" fillId="0" borderId="5" xfId="0" applyFont="1" applyBorder="1">
      <alignment vertical="center"/>
    </xf>
    <xf numFmtId="0" fontId="5" fillId="0" borderId="6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0" borderId="7" xfId="0" applyFont="1" applyFill="1" applyBorder="1" applyAlignment="1">
      <alignment horizontal="center" vertical="center"/>
    </xf>
    <xf numFmtId="0" fontId="5" fillId="0" borderId="8" xfId="0" applyFont="1" applyBorder="1" applyAlignment="1">
      <alignment vertical="center" wrapText="1"/>
    </xf>
    <xf numFmtId="0" fontId="5" fillId="0" borderId="8" xfId="0" applyFont="1" applyBorder="1">
      <alignment vertical="center"/>
    </xf>
    <xf numFmtId="0" fontId="5" fillId="0" borderId="9" xfId="0" applyFont="1" applyFill="1" applyBorder="1" applyAlignment="1">
      <alignment horizontal="center" vertical="center"/>
    </xf>
    <xf numFmtId="0" fontId="5" fillId="0" borderId="10" xfId="0" applyFont="1" applyFill="1" applyBorder="1" applyAlignment="1">
      <alignment vertical="center"/>
    </xf>
    <xf numFmtId="0" fontId="5" fillId="0" borderId="10" xfId="0" applyFont="1" applyFill="1" applyBorder="1" applyAlignment="1">
      <alignment horizontal="center" vertical="center"/>
    </xf>
    <xf numFmtId="0" fontId="5" fillId="0" borderId="11" xfId="0" applyFont="1" applyBorder="1">
      <alignment vertical="center"/>
    </xf>
    <xf numFmtId="0" fontId="5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justify" vertical="center"/>
    </xf>
    <xf numFmtId="0" fontId="5" fillId="0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 wrapText="1"/>
    </xf>
    <xf numFmtId="0" fontId="7" fillId="0" borderId="0" xfId="0" applyFont="1" applyFill="1" applyAlignment="1">
      <alignment vertical="center"/>
    </xf>
    <xf numFmtId="9" fontId="5" fillId="0" borderId="1" xfId="0" applyNumberFormat="1" applyFont="1" applyFill="1" applyBorder="1" applyAlignment="1">
      <alignment vertical="center"/>
    </xf>
    <xf numFmtId="10" fontId="5" fillId="0" borderId="1" xfId="0" applyNumberFormat="1" applyFont="1" applyFill="1" applyBorder="1" applyAlignment="1">
      <alignment vertical="center"/>
    </xf>
    <xf numFmtId="0" fontId="8" fillId="0" borderId="0" xfId="53" applyFont="1" applyFill="1" applyAlignment="1">
      <alignment horizontal="center" vertical="center"/>
    </xf>
    <xf numFmtId="0" fontId="9" fillId="0" borderId="0" xfId="0" applyFont="1" applyFill="1" applyAlignment="1">
      <alignment vertical="center"/>
    </xf>
    <xf numFmtId="0" fontId="10" fillId="0" borderId="15" xfId="53" applyFont="1" applyFill="1" applyBorder="1" applyAlignment="1">
      <alignment horizontal="center" vertical="center" wrapText="1"/>
    </xf>
    <xf numFmtId="0" fontId="10" fillId="0" borderId="16" xfId="53" applyFont="1" applyFill="1" applyBorder="1" applyAlignment="1">
      <alignment horizontal="center" vertical="center" wrapText="1"/>
    </xf>
    <xf numFmtId="0" fontId="11" fillId="0" borderId="17" xfId="53" applyFont="1" applyFill="1" applyBorder="1" applyAlignment="1">
      <alignment horizontal="left" vertical="center" wrapText="1"/>
    </xf>
    <xf numFmtId="0" fontId="11" fillId="0" borderId="18" xfId="53" applyFont="1" applyFill="1" applyBorder="1" applyAlignment="1">
      <alignment horizontal="left" vertical="center" wrapText="1"/>
    </xf>
    <xf numFmtId="0" fontId="11" fillId="0" borderId="19" xfId="53" applyFont="1" applyFill="1" applyBorder="1" applyAlignment="1">
      <alignment horizontal="left" vertical="center" wrapText="1"/>
    </xf>
    <xf numFmtId="0" fontId="10" fillId="0" borderId="20" xfId="53" applyFont="1" applyFill="1" applyBorder="1" applyAlignment="1">
      <alignment horizontal="center" vertical="center" wrapText="1"/>
    </xf>
    <xf numFmtId="0" fontId="10" fillId="0" borderId="21" xfId="53" applyFont="1" applyFill="1" applyBorder="1" applyAlignment="1">
      <alignment horizontal="center" vertical="center" wrapText="1"/>
    </xf>
    <xf numFmtId="0" fontId="3" fillId="0" borderId="0" xfId="43" applyFont="1" applyFill="1" applyBorder="1" applyAlignment="1">
      <alignment horizontal="center" vertical="center" wrapText="1"/>
    </xf>
    <xf numFmtId="0" fontId="3" fillId="0" borderId="22" xfId="43" applyFont="1" applyFill="1" applyBorder="1" applyAlignment="1">
      <alignment horizontal="center" vertical="center" wrapText="1"/>
    </xf>
    <xf numFmtId="0" fontId="12" fillId="0" borderId="1" xfId="28" applyFont="1" applyFill="1" applyBorder="1" applyAlignment="1">
      <alignment horizontal="center" vertical="center" wrapText="1"/>
    </xf>
    <xf numFmtId="0" fontId="13" fillId="0" borderId="1" xfId="28" applyFont="1" applyFill="1" applyBorder="1" applyAlignment="1">
      <alignment horizontal="center" vertical="center"/>
    </xf>
    <xf numFmtId="14" fontId="13" fillId="0" borderId="1" xfId="28" applyNumberFormat="1" applyFont="1" applyFill="1" applyBorder="1" applyAlignment="1">
      <alignment horizontal="center" vertical="center"/>
    </xf>
    <xf numFmtId="0" fontId="13" fillId="0" borderId="1" xfId="28" applyFont="1" applyFill="1" applyBorder="1" applyAlignment="1">
      <alignment horizontal="left" vertical="center" wrapText="1"/>
    </xf>
    <xf numFmtId="0" fontId="13" fillId="0" borderId="1" xfId="28" applyFont="1" applyFill="1" applyBorder="1" applyAlignment="1">
      <alignment horizontal="center" vertical="center" wrapText="1"/>
    </xf>
    <xf numFmtId="0" fontId="14" fillId="0" borderId="0" xfId="53" applyFont="1" applyFill="1" applyAlignment="1">
      <alignment horizontal="center" vertical="center"/>
    </xf>
    <xf numFmtId="0" fontId="14" fillId="0" borderId="0" xfId="53" applyFont="1" applyFill="1" applyAlignment="1">
      <alignment horizontal="left" vertical="center"/>
    </xf>
    <xf numFmtId="49" fontId="14" fillId="0" borderId="0" xfId="53" applyNumberFormat="1" applyFont="1" applyFill="1" applyAlignment="1">
      <alignment horizontal="center" vertical="center"/>
    </xf>
    <xf numFmtId="179" fontId="14" fillId="0" borderId="0" xfId="53" applyNumberFormat="1" applyFont="1" applyFill="1" applyAlignment="1">
      <alignment horizontal="center" vertical="center"/>
    </xf>
    <xf numFmtId="0" fontId="15" fillId="0" borderId="15" xfId="53" applyFont="1" applyFill="1" applyBorder="1" applyAlignment="1">
      <alignment horizontal="center" vertical="center" wrapText="1"/>
    </xf>
    <xf numFmtId="0" fontId="15" fillId="0" borderId="16" xfId="53" applyFont="1" applyFill="1" applyBorder="1" applyAlignment="1">
      <alignment horizontal="center" vertical="center" wrapText="1"/>
    </xf>
    <xf numFmtId="0" fontId="16" fillId="0" borderId="17" xfId="53" applyFont="1" applyFill="1" applyBorder="1" applyAlignment="1">
      <alignment horizontal="left" vertical="center" wrapText="1"/>
    </xf>
    <xf numFmtId="0" fontId="16" fillId="0" borderId="18" xfId="53" applyFont="1" applyFill="1" applyBorder="1" applyAlignment="1">
      <alignment horizontal="left" vertical="center" wrapText="1"/>
    </xf>
    <xf numFmtId="0" fontId="16" fillId="0" borderId="19" xfId="53" applyFont="1" applyFill="1" applyBorder="1" applyAlignment="1">
      <alignment horizontal="left" vertical="center" wrapText="1"/>
    </xf>
    <xf numFmtId="0" fontId="15" fillId="0" borderId="20" xfId="53" applyFont="1" applyFill="1" applyBorder="1" applyAlignment="1">
      <alignment horizontal="center" vertical="center" wrapText="1"/>
    </xf>
    <xf numFmtId="0" fontId="15" fillId="0" borderId="21" xfId="53" applyFont="1" applyFill="1" applyBorder="1" applyAlignment="1">
      <alignment horizontal="center" vertical="center" wrapText="1"/>
    </xf>
    <xf numFmtId="0" fontId="17" fillId="0" borderId="0" xfId="53" applyFont="1" applyFill="1" applyAlignment="1">
      <alignment horizontal="center" vertical="center"/>
    </xf>
    <xf numFmtId="0" fontId="18" fillId="0" borderId="0" xfId="53" applyFont="1" applyFill="1" applyAlignment="1">
      <alignment vertical="center"/>
    </xf>
    <xf numFmtId="0" fontId="18" fillId="0" borderId="0" xfId="53" applyFont="1" applyFill="1" applyAlignment="1">
      <alignment horizontal="center" vertical="center"/>
    </xf>
    <xf numFmtId="0" fontId="19" fillId="0" borderId="1" xfId="53" applyFont="1" applyFill="1" applyBorder="1" applyAlignment="1">
      <alignment horizontal="center" vertical="center" wrapText="1"/>
    </xf>
    <xf numFmtId="14" fontId="19" fillId="0" borderId="1" xfId="53" applyNumberFormat="1" applyFont="1" applyFill="1" applyBorder="1" applyAlignment="1">
      <alignment horizontal="center" vertical="center" wrapText="1"/>
    </xf>
    <xf numFmtId="0" fontId="19" fillId="0" borderId="1" xfId="53" applyFont="1" applyFill="1" applyBorder="1" applyAlignment="1">
      <alignment horizontal="left" vertical="center" wrapText="1"/>
    </xf>
    <xf numFmtId="0" fontId="19" fillId="0" borderId="10" xfId="53" applyFont="1" applyFill="1" applyBorder="1" applyAlignment="1">
      <alignment horizontal="center" vertical="center" wrapText="1"/>
    </xf>
  </cellXfs>
  <cellStyles count="54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常规 8" xfId="19"/>
    <cellStyle name="标题 1" xfId="20" builtinId="16"/>
    <cellStyle name="常规 9" xfId="21"/>
    <cellStyle name="标题 2" xfId="22" builtinId="17"/>
    <cellStyle name="60% - 强调文字颜色 1" xfId="23" builtinId="32"/>
    <cellStyle name="标题 3" xfId="24" builtinId="18"/>
    <cellStyle name="60% - 强调文字颜色 4" xfId="25" builtinId="44"/>
    <cellStyle name="输出" xfId="26" builtinId="21"/>
    <cellStyle name="计算" xfId="27" builtinId="22"/>
    <cellStyle name="常规_客户对应 2 2" xfId="28"/>
    <cellStyle name="检查单元格" xfId="29" builtinId="23"/>
    <cellStyle name="20% - 强调文字颜色 6" xfId="30" builtinId="50"/>
    <cellStyle name="强调文字颜色 2" xfId="31" builtinId="33"/>
    <cellStyle name="链接单元格" xfId="32" builtinId="24"/>
    <cellStyle name="汇总" xfId="33" builtinId="25"/>
    <cellStyle name="好" xfId="34" builtinId="26"/>
    <cellStyle name="适中" xfId="35" builtinId="28"/>
    <cellStyle name="20% - 强调文字颜色 5" xfId="36" builtinId="46"/>
    <cellStyle name="强调文字颜色 1" xfId="37" builtinId="29"/>
    <cellStyle name="20% - 强调文字颜色 1" xfId="38" builtinId="30"/>
    <cellStyle name="40% - 强调文字颜色 1" xfId="39" builtinId="31"/>
    <cellStyle name="20% - 强调文字颜色 2" xfId="40" builtinId="34"/>
    <cellStyle name="40% - 强调文字颜色 2" xfId="41" builtinId="35"/>
    <cellStyle name="强调文字颜色 3" xfId="42" builtinId="37"/>
    <cellStyle name="常规 3 2" xfId="43"/>
    <cellStyle name="强调文字颜色 4" xfId="44" builtinId="41"/>
    <cellStyle name="20% - 强调文字颜色 4" xfId="45" builtinId="42"/>
    <cellStyle name="40% - 强调文字颜色 4" xfId="46" builtinId="43"/>
    <cellStyle name="强调文字颜色 5" xfId="47" builtinId="45"/>
    <cellStyle name="40% - 强调文字颜色 5" xfId="48" builtinId="47"/>
    <cellStyle name="60% - 强调文字颜色 5" xfId="49" builtinId="48"/>
    <cellStyle name="强调文字颜色 6" xfId="50" builtinId="49"/>
    <cellStyle name="40% - 强调文字颜色 6" xfId="51" builtinId="51"/>
    <cellStyle name="60% - 强调文字颜色 6" xfId="52" builtinId="52"/>
    <cellStyle name="常规 19" xfId="53"/>
  </cellStyles>
  <dxfs count="3">
    <dxf>
      <fill>
        <patternFill patternType="solid">
          <bgColor rgb="FFFF9900"/>
        </patternFill>
      </fill>
    </dxf>
    <dxf>
      <fill>
        <patternFill patternType="solid">
          <bgColor theme="9"/>
        </patternFill>
      </fill>
    </dxf>
    <dxf>
      <font>
        <color rgb="FFFF0000"/>
      </font>
    </dxf>
  </dxf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CN" b="1"/>
              <a:t>630</a:t>
            </a:r>
            <a:r>
              <a:rPr altLang="en-US" b="1"/>
              <a:t>数据交付质量</a:t>
            </a:r>
            <a:endParaRPr lang="en-US" altLang="zh-CN" b="1"/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"检查项数量"</c:f>
              <c:strCache>
                <c:ptCount val="1"/>
                <c:pt idx="0">
                  <c:v>检查项数量</c:v>
                </c:pt>
              </c:strCache>
            </c:strRef>
          </c:tx>
          <c:spPr>
            <a:gradFill>
              <a:gsLst>
                <a:gs pos="0">
                  <a:srgbClr val="FECF40"/>
                </a:gs>
                <a:gs pos="100000">
                  <a:srgbClr val="846C21"/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综述!$B$11:$B$15</c:f>
              <c:strCache>
                <c:ptCount val="5"/>
                <c:pt idx="0">
                  <c:v>文件列表检查</c:v>
                </c:pt>
                <c:pt idx="1">
                  <c:v>提交范围检查</c:v>
                </c:pt>
                <c:pt idx="2">
                  <c:v>规格+值域+主外键</c:v>
                </c:pt>
                <c:pt idx="3">
                  <c:v>几何拓扑逻辑检查</c:v>
                </c:pt>
                <c:pt idx="4">
                  <c:v>与现实世界一致性检查</c:v>
                </c:pt>
              </c:strCache>
            </c:strRef>
          </c:cat>
          <c:val>
            <c:numRef>
              <c:f>综述!$C$11:$C$15</c:f>
              <c:numCache>
                <c:formatCode>General</c:formatCode>
                <c:ptCount val="5"/>
                <c:pt idx="0">
                  <c:v>4</c:v>
                </c:pt>
                <c:pt idx="1">
                  <c:v>1</c:v>
                </c:pt>
                <c:pt idx="2">
                  <c:v>233</c:v>
                </c:pt>
                <c:pt idx="3">
                  <c:v>126</c:v>
                </c:pt>
                <c:pt idx="4">
                  <c:v>50</c:v>
                </c:pt>
              </c:numCache>
            </c:numRef>
          </c:val>
        </c:ser>
        <c:ser>
          <c:idx val="1"/>
          <c:order val="1"/>
          <c:tx>
            <c:strRef>
              <c:f>"不合格项数量"</c:f>
              <c:strCache>
                <c:ptCount val="1"/>
                <c:pt idx="0">
                  <c:v>不合格项数量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综述!$B$11:$B$15</c:f>
              <c:strCache>
                <c:ptCount val="5"/>
                <c:pt idx="0">
                  <c:v>文件列表检查</c:v>
                </c:pt>
                <c:pt idx="1">
                  <c:v>提交范围检查</c:v>
                </c:pt>
                <c:pt idx="2">
                  <c:v>规格+值域+主外键</c:v>
                </c:pt>
                <c:pt idx="3">
                  <c:v>几何拓扑逻辑检查</c:v>
                </c:pt>
                <c:pt idx="4">
                  <c:v>与现实世界一致性检查</c:v>
                </c:pt>
              </c:strCache>
            </c:strRef>
          </c:cat>
          <c:val>
            <c:numRef>
              <c:f>综述!$E$11:$E$15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926159314"/>
        <c:axId val="783213035"/>
      </c:barChart>
      <c:catAx>
        <c:axId val="92615931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83213035"/>
        <c:crosses val="autoZero"/>
        <c:auto val="1"/>
        <c:lblAlgn val="ctr"/>
        <c:lblOffset val="100"/>
        <c:noMultiLvlLbl val="0"/>
      </c:catAx>
      <c:valAx>
        <c:axId val="7832130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92615931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99695</xdr:rowOff>
    </xdr:from>
    <xdr:to>
      <xdr:col>1</xdr:col>
      <xdr:colOff>564515</xdr:colOff>
      <xdr:row>1</xdr:row>
      <xdr:rowOff>127000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99695"/>
          <a:ext cx="1255395" cy="28448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7620</xdr:colOff>
      <xdr:row>0</xdr:row>
      <xdr:rowOff>129540</xdr:rowOff>
    </xdr:from>
    <xdr:to>
      <xdr:col>1</xdr:col>
      <xdr:colOff>631190</xdr:colOff>
      <xdr:row>1</xdr:row>
      <xdr:rowOff>179705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7620" y="129540"/>
          <a:ext cx="1243965" cy="30734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213360</xdr:colOff>
      <xdr:row>20</xdr:row>
      <xdr:rowOff>96520</xdr:rowOff>
    </xdr:from>
    <xdr:to>
      <xdr:col>4</xdr:col>
      <xdr:colOff>746760</xdr:colOff>
      <xdr:row>36</xdr:row>
      <xdr:rowOff>53340</xdr:rowOff>
    </xdr:to>
    <xdr:graphicFrame>
      <xdr:nvGraphicFramePr>
        <xdr:cNvPr id="5" name="图表 4"/>
        <xdr:cNvGraphicFramePr/>
      </xdr:nvGraphicFramePr>
      <xdr:xfrm>
        <a:off x="213360" y="3925570"/>
        <a:ext cx="5586730" cy="25984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9"/>
  <sheetViews>
    <sheetView showGridLines="0" topLeftCell="A3" workbookViewId="0">
      <selection activeCell="I25" sqref="I25"/>
    </sheetView>
  </sheetViews>
  <sheetFormatPr defaultColWidth="10" defaultRowHeight="13" outlineLevelCol="6"/>
  <cols>
    <col min="1" max="1" width="10" style="85" customWidth="1"/>
    <col min="2" max="2" width="10" style="86" customWidth="1"/>
    <col min="3" max="3" width="10" style="87" customWidth="1"/>
    <col min="4" max="4" width="23.6272727272727" style="85" customWidth="1"/>
    <col min="5" max="5" width="11.6272727272727" style="85" customWidth="1"/>
    <col min="6" max="6" width="19" style="88" customWidth="1"/>
    <col min="7" max="7" width="10" style="85" customWidth="1"/>
    <col min="8" max="16384" width="10" style="85"/>
  </cols>
  <sheetData>
    <row r="1" s="69" customFormat="1" ht="20.25" customHeight="1" spans="1:7">
      <c r="A1" s="89"/>
      <c r="B1" s="90"/>
      <c r="C1" s="91" t="s">
        <v>0</v>
      </c>
      <c r="D1" s="91" t="s">
        <v>1</v>
      </c>
      <c r="E1" s="91" t="s">
        <v>2</v>
      </c>
      <c r="F1" s="92"/>
      <c r="G1" s="93"/>
    </row>
    <row r="2" s="69" customFormat="1" ht="20.25" customHeight="1" spans="1:7">
      <c r="A2" s="94"/>
      <c r="B2" s="95"/>
      <c r="C2" s="91" t="s">
        <v>3</v>
      </c>
      <c r="D2" s="91" t="s">
        <v>4</v>
      </c>
      <c r="E2" s="91" t="s">
        <v>5</v>
      </c>
      <c r="F2" s="92" t="s">
        <v>6</v>
      </c>
      <c r="G2" s="93"/>
    </row>
    <row r="3" s="85" customFormat="1" ht="13.5" customHeight="1" spans="2:6">
      <c r="B3" s="86"/>
      <c r="C3" s="87"/>
      <c r="F3" s="88"/>
    </row>
    <row r="4" s="85" customFormat="1" ht="13.5" customHeight="1" spans="2:6">
      <c r="B4" s="86"/>
      <c r="C4" s="87"/>
      <c r="F4" s="88"/>
    </row>
    <row r="5" s="85" customFormat="1" ht="13.5" customHeight="1" spans="2:6">
      <c r="B5" s="86"/>
      <c r="C5" s="87"/>
      <c r="F5" s="88"/>
    </row>
    <row r="6" s="85" customFormat="1" ht="13.5" customHeight="1" spans="2:6">
      <c r="B6" s="86"/>
      <c r="C6" s="87"/>
      <c r="F6" s="88"/>
    </row>
    <row r="7" s="85" customFormat="1" ht="13.5" customHeight="1" spans="2:6">
      <c r="B7" s="86"/>
      <c r="C7" s="87"/>
      <c r="F7" s="88"/>
    </row>
    <row r="8" s="85" customFormat="1" ht="13.5" customHeight="1" spans="2:6">
      <c r="B8" s="86"/>
      <c r="C8" s="87"/>
      <c r="F8" s="88"/>
    </row>
    <row r="9" s="85" customFormat="1" ht="13.5" customHeight="1" spans="2:6">
      <c r="B9" s="86"/>
      <c r="C9" s="87"/>
      <c r="F9" s="88"/>
    </row>
    <row r="10" s="85" customFormat="1" ht="13.5" customHeight="1" spans="2:6">
      <c r="B10" s="86"/>
      <c r="C10" s="87"/>
      <c r="F10" s="88"/>
    </row>
    <row r="11" s="85" customFormat="1" ht="22.5" customHeight="1" spans="2:6">
      <c r="B11" s="96" t="s">
        <v>7</v>
      </c>
      <c r="C11" s="96"/>
      <c r="D11" s="96"/>
      <c r="E11" s="96"/>
      <c r="F11" s="96"/>
    </row>
    <row r="12" s="85" customFormat="1" ht="13.5" customHeight="1" spans="1:6">
      <c r="A12" s="97"/>
      <c r="B12" s="97"/>
      <c r="C12" s="97"/>
      <c r="D12" s="97"/>
      <c r="E12" s="97"/>
      <c r="F12" s="97"/>
    </row>
    <row r="13" s="85" customFormat="1" ht="13.5" customHeight="1" spans="1:6">
      <c r="A13" s="97"/>
      <c r="B13" s="97"/>
      <c r="C13" s="97"/>
      <c r="D13" s="97"/>
      <c r="E13" s="97"/>
      <c r="F13" s="97"/>
    </row>
    <row r="14" s="85" customFormat="1" ht="13.5" customHeight="1" spans="1:6">
      <c r="A14" s="97"/>
      <c r="B14" s="97"/>
      <c r="C14" s="97"/>
      <c r="D14" s="97"/>
      <c r="E14" s="97"/>
      <c r="F14" s="97"/>
    </row>
    <row r="15" s="85" customFormat="1" ht="13.5" customHeight="1" spans="1:6">
      <c r="A15" s="97"/>
      <c r="B15" s="97"/>
      <c r="C15" s="97"/>
      <c r="D15" s="97"/>
      <c r="E15" s="97"/>
      <c r="F15" s="97"/>
    </row>
    <row r="16" s="85" customFormat="1" ht="13.5" customHeight="1" spans="1:6">
      <c r="A16" s="98"/>
      <c r="B16" s="98"/>
      <c r="C16" s="98"/>
      <c r="D16" s="98"/>
      <c r="E16" s="98"/>
      <c r="F16" s="98"/>
    </row>
    <row r="17" s="85" customFormat="1" ht="13.5" customHeight="1" spans="2:6">
      <c r="B17" s="86"/>
      <c r="C17" s="87"/>
      <c r="F17" s="88"/>
    </row>
    <row r="18" s="85" customFormat="1" ht="13.5" customHeight="1" spans="2:6">
      <c r="B18" s="86"/>
      <c r="C18" s="87"/>
      <c r="F18" s="88"/>
    </row>
    <row r="19" s="85" customFormat="1" ht="13.5" customHeight="1" spans="2:6">
      <c r="B19" s="86"/>
      <c r="C19" s="87"/>
      <c r="F19" s="88"/>
    </row>
    <row r="20" s="85" customFormat="1" ht="13.5" customHeight="1" spans="2:6">
      <c r="B20" s="86"/>
      <c r="C20" s="87"/>
      <c r="F20" s="88"/>
    </row>
    <row r="21" s="85" customFormat="1" ht="20.25" customHeight="1" spans="2:6">
      <c r="B21" s="99" t="s">
        <v>8</v>
      </c>
      <c r="C21" s="100"/>
      <c r="D21" s="99"/>
      <c r="E21" s="99" t="s">
        <v>9</v>
      </c>
      <c r="F21" s="99" t="s">
        <v>10</v>
      </c>
    </row>
    <row r="22" s="85" customFormat="1" ht="20.25" customHeight="1" spans="2:6">
      <c r="B22" s="99" t="s">
        <v>11</v>
      </c>
      <c r="C22" s="101" t="s">
        <v>12</v>
      </c>
      <c r="D22" s="101"/>
      <c r="E22" s="101"/>
      <c r="F22" s="101"/>
    </row>
    <row r="23" s="85" customFormat="1" ht="20.25" customHeight="1" spans="2:6">
      <c r="B23" s="99" t="s">
        <v>13</v>
      </c>
      <c r="C23" s="99" t="s">
        <v>14</v>
      </c>
      <c r="D23" s="99"/>
      <c r="E23" s="99" t="s">
        <v>15</v>
      </c>
      <c r="F23" s="100">
        <v>45107</v>
      </c>
    </row>
    <row r="24" s="85" customFormat="1" ht="20.25" customHeight="1" spans="2:6">
      <c r="B24" s="102" t="s">
        <v>16</v>
      </c>
      <c r="C24" s="99" t="s">
        <v>17</v>
      </c>
      <c r="D24" s="99"/>
      <c r="E24" s="102" t="s">
        <v>18</v>
      </c>
      <c r="F24" s="100">
        <v>45107</v>
      </c>
    </row>
    <row r="25" s="85" customFormat="1" ht="20.25" customHeight="1" spans="2:6">
      <c r="B25" s="99" t="s">
        <v>19</v>
      </c>
      <c r="C25" s="99" t="s">
        <v>17</v>
      </c>
      <c r="D25" s="99"/>
      <c r="E25" s="99" t="s">
        <v>20</v>
      </c>
      <c r="F25" s="100">
        <v>45107</v>
      </c>
    </row>
    <row r="26" s="85" customFormat="1" spans="2:6">
      <c r="B26" s="86"/>
      <c r="C26" s="87"/>
      <c r="F26" s="88"/>
    </row>
    <row r="27" s="85" customFormat="1" ht="13.5" customHeight="1" spans="2:6">
      <c r="B27" s="86"/>
      <c r="C27" s="87"/>
      <c r="F27" s="88"/>
    </row>
    <row r="28" s="85" customFormat="1" spans="2:6">
      <c r="B28" s="86"/>
      <c r="C28" s="87"/>
      <c r="F28" s="88"/>
    </row>
    <row r="29" s="85" customFormat="1" ht="20.25" customHeight="1" spans="2:2">
      <c r="B29" s="86"/>
    </row>
    <row r="30" s="85" customFormat="1" ht="20.25" customHeight="1" spans="2:2">
      <c r="B30" s="86"/>
    </row>
    <row r="31" s="85" customFormat="1" ht="20.25" customHeight="1" spans="2:2">
      <c r="B31" s="86"/>
    </row>
    <row r="32" s="85" customFormat="1" ht="20.25" customHeight="1"/>
    <row r="33" s="85" customFormat="1" ht="20.25" customHeight="1"/>
    <row r="34" s="85" customFormat="1" ht="20.25" customHeight="1"/>
    <row r="35" s="85" customFormat="1" ht="20.25" customHeight="1"/>
    <row r="36" s="85" customFormat="1" ht="20.25" customHeight="1"/>
    <row r="37" s="85" customFormat="1" ht="20.25" customHeight="1"/>
    <row r="38" s="85" customFormat="1" ht="20.25" customHeight="1"/>
    <row r="39" s="85" customFormat="1" ht="20.25" customHeight="1"/>
    <row r="40" s="85" customFormat="1" ht="20.25" customHeight="1"/>
    <row r="41" s="85" customFormat="1" ht="20.25" customHeight="1"/>
    <row r="42" s="85" customFormat="1" ht="20.25" customHeight="1"/>
    <row r="43" s="85" customFormat="1" ht="20.25" customHeight="1"/>
    <row r="44" s="85" customFormat="1" spans="3:6">
      <c r="C44" s="87"/>
      <c r="F44" s="88"/>
    </row>
    <row r="45" s="85" customFormat="1" spans="3:6">
      <c r="C45" s="87"/>
      <c r="F45" s="88"/>
    </row>
    <row r="46" s="85" customFormat="1" spans="3:6">
      <c r="C46" s="87"/>
      <c r="F46" s="88"/>
    </row>
    <row r="47" s="85" customFormat="1" spans="3:6">
      <c r="C47" s="87"/>
      <c r="F47" s="88"/>
    </row>
    <row r="48" s="85" customFormat="1"/>
    <row r="49" s="85" customFormat="1"/>
    <row r="50" s="85" customFormat="1"/>
    <row r="51" s="85" customFormat="1"/>
    <row r="52" s="85" customFormat="1"/>
    <row r="53" s="85" customFormat="1"/>
    <row r="54" s="85" customFormat="1"/>
    <row r="55" s="85" customFormat="1"/>
    <row r="56" s="85" customFormat="1"/>
    <row r="57" s="85" customFormat="1" spans="2:6">
      <c r="B57" s="86"/>
      <c r="C57" s="87"/>
      <c r="F57" s="88"/>
    </row>
    <row r="58" s="85" customFormat="1" spans="2:6">
      <c r="B58" s="86"/>
      <c r="C58" s="87"/>
      <c r="F58" s="88"/>
    </row>
    <row r="59" s="85" customFormat="1"/>
  </sheetData>
  <mergeCells count="9">
    <mergeCell ref="F1:G1"/>
    <mergeCell ref="F2:G2"/>
    <mergeCell ref="B11:F11"/>
    <mergeCell ref="C21:D21"/>
    <mergeCell ref="C22:F22"/>
    <mergeCell ref="C23:D23"/>
    <mergeCell ref="C24:D24"/>
    <mergeCell ref="C25:D25"/>
    <mergeCell ref="A1:B2"/>
  </mergeCells>
  <pageMargins left="0.75" right="0.75" top="1" bottom="1" header="0.5" footer="0.5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workbookViewId="0">
      <selection activeCell="F19" sqref="F19"/>
    </sheetView>
  </sheetViews>
  <sheetFormatPr defaultColWidth="8.88181818181818" defaultRowHeight="12" outlineLevelRow="6" outlineLevelCol="6"/>
  <cols>
    <col min="1" max="1" width="8.88181818181818" style="70"/>
    <col min="2" max="2" width="11" style="70" customWidth="1"/>
    <col min="3" max="3" width="11.6636363636364" style="70" customWidth="1"/>
    <col min="4" max="4" width="11.5" style="70" customWidth="1"/>
    <col min="5" max="5" width="8.88181818181818" style="70"/>
    <col min="6" max="6" width="18.1272727272727" style="70" customWidth="1"/>
    <col min="7" max="7" width="16.8818181818182" style="70" customWidth="1"/>
    <col min="8" max="256" width="8.88181818181818" style="70"/>
    <col min="257" max="257" width="9.88181818181818" style="70" customWidth="1"/>
    <col min="258" max="258" width="8.88181818181818" style="70"/>
    <col min="259" max="259" width="51.3818181818182" style="70" customWidth="1"/>
    <col min="260" max="260" width="28.3818181818182" style="70" customWidth="1"/>
    <col min="261" max="512" width="8.88181818181818" style="70"/>
    <col min="513" max="513" width="9.88181818181818" style="70" customWidth="1"/>
    <col min="514" max="514" width="8.88181818181818" style="70"/>
    <col min="515" max="515" width="51.3818181818182" style="70" customWidth="1"/>
    <col min="516" max="516" width="28.3818181818182" style="70" customWidth="1"/>
    <col min="517" max="768" width="8.88181818181818" style="70"/>
    <col min="769" max="769" width="9.88181818181818" style="70" customWidth="1"/>
    <col min="770" max="770" width="8.88181818181818" style="70"/>
    <col min="771" max="771" width="51.3818181818182" style="70" customWidth="1"/>
    <col min="772" max="772" width="28.3818181818182" style="70" customWidth="1"/>
    <col min="773" max="1024" width="8.88181818181818" style="70"/>
    <col min="1025" max="1025" width="9.88181818181818" style="70" customWidth="1"/>
    <col min="1026" max="1026" width="8.88181818181818" style="70"/>
    <col min="1027" max="1027" width="51.3818181818182" style="70" customWidth="1"/>
    <col min="1028" max="1028" width="28.3818181818182" style="70" customWidth="1"/>
    <col min="1029" max="1280" width="8.88181818181818" style="70"/>
    <col min="1281" max="1281" width="9.88181818181818" style="70" customWidth="1"/>
    <col min="1282" max="1282" width="8.88181818181818" style="70"/>
    <col min="1283" max="1283" width="51.3818181818182" style="70" customWidth="1"/>
    <col min="1284" max="1284" width="28.3818181818182" style="70" customWidth="1"/>
    <col min="1285" max="1536" width="8.88181818181818" style="70"/>
    <col min="1537" max="1537" width="9.88181818181818" style="70" customWidth="1"/>
    <col min="1538" max="1538" width="8.88181818181818" style="70"/>
    <col min="1539" max="1539" width="51.3818181818182" style="70" customWidth="1"/>
    <col min="1540" max="1540" width="28.3818181818182" style="70" customWidth="1"/>
    <col min="1541" max="1792" width="8.88181818181818" style="70"/>
    <col min="1793" max="1793" width="9.88181818181818" style="70" customWidth="1"/>
    <col min="1794" max="1794" width="8.88181818181818" style="70"/>
    <col min="1795" max="1795" width="51.3818181818182" style="70" customWidth="1"/>
    <col min="1796" max="1796" width="28.3818181818182" style="70" customWidth="1"/>
    <col min="1797" max="2048" width="8.88181818181818" style="70"/>
    <col min="2049" max="2049" width="9.88181818181818" style="70" customWidth="1"/>
    <col min="2050" max="2050" width="8.88181818181818" style="70"/>
    <col min="2051" max="2051" width="51.3818181818182" style="70" customWidth="1"/>
    <col min="2052" max="2052" width="28.3818181818182" style="70" customWidth="1"/>
    <col min="2053" max="2304" width="8.88181818181818" style="70"/>
    <col min="2305" max="2305" width="9.88181818181818" style="70" customWidth="1"/>
    <col min="2306" max="2306" width="8.88181818181818" style="70"/>
    <col min="2307" max="2307" width="51.3818181818182" style="70" customWidth="1"/>
    <col min="2308" max="2308" width="28.3818181818182" style="70" customWidth="1"/>
    <col min="2309" max="2560" width="8.88181818181818" style="70"/>
    <col min="2561" max="2561" width="9.88181818181818" style="70" customWidth="1"/>
    <col min="2562" max="2562" width="8.88181818181818" style="70"/>
    <col min="2563" max="2563" width="51.3818181818182" style="70" customWidth="1"/>
    <col min="2564" max="2564" width="28.3818181818182" style="70" customWidth="1"/>
    <col min="2565" max="2816" width="8.88181818181818" style="70"/>
    <col min="2817" max="2817" width="9.88181818181818" style="70" customWidth="1"/>
    <col min="2818" max="2818" width="8.88181818181818" style="70"/>
    <col min="2819" max="2819" width="51.3818181818182" style="70" customWidth="1"/>
    <col min="2820" max="2820" width="28.3818181818182" style="70" customWidth="1"/>
    <col min="2821" max="3072" width="8.88181818181818" style="70"/>
    <col min="3073" max="3073" width="9.88181818181818" style="70" customWidth="1"/>
    <col min="3074" max="3074" width="8.88181818181818" style="70"/>
    <col min="3075" max="3075" width="51.3818181818182" style="70" customWidth="1"/>
    <col min="3076" max="3076" width="28.3818181818182" style="70" customWidth="1"/>
    <col min="3077" max="3328" width="8.88181818181818" style="70"/>
    <col min="3329" max="3329" width="9.88181818181818" style="70" customWidth="1"/>
    <col min="3330" max="3330" width="8.88181818181818" style="70"/>
    <col min="3331" max="3331" width="51.3818181818182" style="70" customWidth="1"/>
    <col min="3332" max="3332" width="28.3818181818182" style="70" customWidth="1"/>
    <col min="3333" max="3584" width="8.88181818181818" style="70"/>
    <col min="3585" max="3585" width="9.88181818181818" style="70" customWidth="1"/>
    <col min="3586" max="3586" width="8.88181818181818" style="70"/>
    <col min="3587" max="3587" width="51.3818181818182" style="70" customWidth="1"/>
    <col min="3588" max="3588" width="28.3818181818182" style="70" customWidth="1"/>
    <col min="3589" max="3840" width="8.88181818181818" style="70"/>
    <col min="3841" max="3841" width="9.88181818181818" style="70" customWidth="1"/>
    <col min="3842" max="3842" width="8.88181818181818" style="70"/>
    <col min="3843" max="3843" width="51.3818181818182" style="70" customWidth="1"/>
    <col min="3844" max="3844" width="28.3818181818182" style="70" customWidth="1"/>
    <col min="3845" max="4096" width="8.88181818181818" style="70"/>
    <col min="4097" max="4097" width="9.88181818181818" style="70" customWidth="1"/>
    <col min="4098" max="4098" width="8.88181818181818" style="70"/>
    <col min="4099" max="4099" width="51.3818181818182" style="70" customWidth="1"/>
    <col min="4100" max="4100" width="28.3818181818182" style="70" customWidth="1"/>
    <col min="4101" max="4352" width="8.88181818181818" style="70"/>
    <col min="4353" max="4353" width="9.88181818181818" style="70" customWidth="1"/>
    <col min="4354" max="4354" width="8.88181818181818" style="70"/>
    <col min="4355" max="4355" width="51.3818181818182" style="70" customWidth="1"/>
    <col min="4356" max="4356" width="28.3818181818182" style="70" customWidth="1"/>
    <col min="4357" max="4608" width="8.88181818181818" style="70"/>
    <col min="4609" max="4609" width="9.88181818181818" style="70" customWidth="1"/>
    <col min="4610" max="4610" width="8.88181818181818" style="70"/>
    <col min="4611" max="4611" width="51.3818181818182" style="70" customWidth="1"/>
    <col min="4612" max="4612" width="28.3818181818182" style="70" customWidth="1"/>
    <col min="4613" max="4864" width="8.88181818181818" style="70"/>
    <col min="4865" max="4865" width="9.88181818181818" style="70" customWidth="1"/>
    <col min="4866" max="4866" width="8.88181818181818" style="70"/>
    <col min="4867" max="4867" width="51.3818181818182" style="70" customWidth="1"/>
    <col min="4868" max="4868" width="28.3818181818182" style="70" customWidth="1"/>
    <col min="4869" max="5120" width="8.88181818181818" style="70"/>
    <col min="5121" max="5121" width="9.88181818181818" style="70" customWidth="1"/>
    <col min="5122" max="5122" width="8.88181818181818" style="70"/>
    <col min="5123" max="5123" width="51.3818181818182" style="70" customWidth="1"/>
    <col min="5124" max="5124" width="28.3818181818182" style="70" customWidth="1"/>
    <col min="5125" max="5376" width="8.88181818181818" style="70"/>
    <col min="5377" max="5377" width="9.88181818181818" style="70" customWidth="1"/>
    <col min="5378" max="5378" width="8.88181818181818" style="70"/>
    <col min="5379" max="5379" width="51.3818181818182" style="70" customWidth="1"/>
    <col min="5380" max="5380" width="28.3818181818182" style="70" customWidth="1"/>
    <col min="5381" max="5632" width="8.88181818181818" style="70"/>
    <col min="5633" max="5633" width="9.88181818181818" style="70" customWidth="1"/>
    <col min="5634" max="5634" width="8.88181818181818" style="70"/>
    <col min="5635" max="5635" width="51.3818181818182" style="70" customWidth="1"/>
    <col min="5636" max="5636" width="28.3818181818182" style="70" customWidth="1"/>
    <col min="5637" max="5888" width="8.88181818181818" style="70"/>
    <col min="5889" max="5889" width="9.88181818181818" style="70" customWidth="1"/>
    <col min="5890" max="5890" width="8.88181818181818" style="70"/>
    <col min="5891" max="5891" width="51.3818181818182" style="70" customWidth="1"/>
    <col min="5892" max="5892" width="28.3818181818182" style="70" customWidth="1"/>
    <col min="5893" max="6144" width="8.88181818181818" style="70"/>
    <col min="6145" max="6145" width="9.88181818181818" style="70" customWidth="1"/>
    <col min="6146" max="6146" width="8.88181818181818" style="70"/>
    <col min="6147" max="6147" width="51.3818181818182" style="70" customWidth="1"/>
    <col min="6148" max="6148" width="28.3818181818182" style="70" customWidth="1"/>
    <col min="6149" max="6400" width="8.88181818181818" style="70"/>
    <col min="6401" max="6401" width="9.88181818181818" style="70" customWidth="1"/>
    <col min="6402" max="6402" width="8.88181818181818" style="70"/>
    <col min="6403" max="6403" width="51.3818181818182" style="70" customWidth="1"/>
    <col min="6404" max="6404" width="28.3818181818182" style="70" customWidth="1"/>
    <col min="6405" max="6656" width="8.88181818181818" style="70"/>
    <col min="6657" max="6657" width="9.88181818181818" style="70" customWidth="1"/>
    <col min="6658" max="6658" width="8.88181818181818" style="70"/>
    <col min="6659" max="6659" width="51.3818181818182" style="70" customWidth="1"/>
    <col min="6660" max="6660" width="28.3818181818182" style="70" customWidth="1"/>
    <col min="6661" max="6912" width="8.88181818181818" style="70"/>
    <col min="6913" max="6913" width="9.88181818181818" style="70" customWidth="1"/>
    <col min="6914" max="6914" width="8.88181818181818" style="70"/>
    <col min="6915" max="6915" width="51.3818181818182" style="70" customWidth="1"/>
    <col min="6916" max="6916" width="28.3818181818182" style="70" customWidth="1"/>
    <col min="6917" max="7168" width="8.88181818181818" style="70"/>
    <col min="7169" max="7169" width="9.88181818181818" style="70" customWidth="1"/>
    <col min="7170" max="7170" width="8.88181818181818" style="70"/>
    <col min="7171" max="7171" width="51.3818181818182" style="70" customWidth="1"/>
    <col min="7172" max="7172" width="28.3818181818182" style="70" customWidth="1"/>
    <col min="7173" max="7424" width="8.88181818181818" style="70"/>
    <col min="7425" max="7425" width="9.88181818181818" style="70" customWidth="1"/>
    <col min="7426" max="7426" width="8.88181818181818" style="70"/>
    <col min="7427" max="7427" width="51.3818181818182" style="70" customWidth="1"/>
    <col min="7428" max="7428" width="28.3818181818182" style="70" customWidth="1"/>
    <col min="7429" max="7680" width="8.88181818181818" style="70"/>
    <col min="7681" max="7681" width="9.88181818181818" style="70" customWidth="1"/>
    <col min="7682" max="7682" width="8.88181818181818" style="70"/>
    <col min="7683" max="7683" width="51.3818181818182" style="70" customWidth="1"/>
    <col min="7684" max="7684" width="28.3818181818182" style="70" customWidth="1"/>
    <col min="7685" max="7936" width="8.88181818181818" style="70"/>
    <col min="7937" max="7937" width="9.88181818181818" style="70" customWidth="1"/>
    <col min="7938" max="7938" width="8.88181818181818" style="70"/>
    <col min="7939" max="7939" width="51.3818181818182" style="70" customWidth="1"/>
    <col min="7940" max="7940" width="28.3818181818182" style="70" customWidth="1"/>
    <col min="7941" max="8192" width="8.88181818181818" style="70"/>
    <col min="8193" max="8193" width="9.88181818181818" style="70" customWidth="1"/>
    <col min="8194" max="8194" width="8.88181818181818" style="70"/>
    <col min="8195" max="8195" width="51.3818181818182" style="70" customWidth="1"/>
    <col min="8196" max="8196" width="28.3818181818182" style="70" customWidth="1"/>
    <col min="8197" max="8448" width="8.88181818181818" style="70"/>
    <col min="8449" max="8449" width="9.88181818181818" style="70" customWidth="1"/>
    <col min="8450" max="8450" width="8.88181818181818" style="70"/>
    <col min="8451" max="8451" width="51.3818181818182" style="70" customWidth="1"/>
    <col min="8452" max="8452" width="28.3818181818182" style="70" customWidth="1"/>
    <col min="8453" max="8704" width="8.88181818181818" style="70"/>
    <col min="8705" max="8705" width="9.88181818181818" style="70" customWidth="1"/>
    <col min="8706" max="8706" width="8.88181818181818" style="70"/>
    <col min="8707" max="8707" width="51.3818181818182" style="70" customWidth="1"/>
    <col min="8708" max="8708" width="28.3818181818182" style="70" customWidth="1"/>
    <col min="8709" max="8960" width="8.88181818181818" style="70"/>
    <col min="8961" max="8961" width="9.88181818181818" style="70" customWidth="1"/>
    <col min="8962" max="8962" width="8.88181818181818" style="70"/>
    <col min="8963" max="8963" width="51.3818181818182" style="70" customWidth="1"/>
    <col min="8964" max="8964" width="28.3818181818182" style="70" customWidth="1"/>
    <col min="8965" max="9216" width="8.88181818181818" style="70"/>
    <col min="9217" max="9217" width="9.88181818181818" style="70" customWidth="1"/>
    <col min="9218" max="9218" width="8.88181818181818" style="70"/>
    <col min="9219" max="9219" width="51.3818181818182" style="70" customWidth="1"/>
    <col min="9220" max="9220" width="28.3818181818182" style="70" customWidth="1"/>
    <col min="9221" max="9472" width="8.88181818181818" style="70"/>
    <col min="9473" max="9473" width="9.88181818181818" style="70" customWidth="1"/>
    <col min="9474" max="9474" width="8.88181818181818" style="70"/>
    <col min="9475" max="9475" width="51.3818181818182" style="70" customWidth="1"/>
    <col min="9476" max="9476" width="28.3818181818182" style="70" customWidth="1"/>
    <col min="9477" max="9728" width="8.88181818181818" style="70"/>
    <col min="9729" max="9729" width="9.88181818181818" style="70" customWidth="1"/>
    <col min="9730" max="9730" width="8.88181818181818" style="70"/>
    <col min="9731" max="9731" width="51.3818181818182" style="70" customWidth="1"/>
    <col min="9732" max="9732" width="28.3818181818182" style="70" customWidth="1"/>
    <col min="9733" max="9984" width="8.88181818181818" style="70"/>
    <col min="9985" max="9985" width="9.88181818181818" style="70" customWidth="1"/>
    <col min="9986" max="9986" width="8.88181818181818" style="70"/>
    <col min="9987" max="9987" width="51.3818181818182" style="70" customWidth="1"/>
    <col min="9988" max="9988" width="28.3818181818182" style="70" customWidth="1"/>
    <col min="9989" max="10240" width="8.88181818181818" style="70"/>
    <col min="10241" max="10241" width="9.88181818181818" style="70" customWidth="1"/>
    <col min="10242" max="10242" width="8.88181818181818" style="70"/>
    <col min="10243" max="10243" width="51.3818181818182" style="70" customWidth="1"/>
    <col min="10244" max="10244" width="28.3818181818182" style="70" customWidth="1"/>
    <col min="10245" max="10496" width="8.88181818181818" style="70"/>
    <col min="10497" max="10497" width="9.88181818181818" style="70" customWidth="1"/>
    <col min="10498" max="10498" width="8.88181818181818" style="70"/>
    <col min="10499" max="10499" width="51.3818181818182" style="70" customWidth="1"/>
    <col min="10500" max="10500" width="28.3818181818182" style="70" customWidth="1"/>
    <col min="10501" max="10752" width="8.88181818181818" style="70"/>
    <col min="10753" max="10753" width="9.88181818181818" style="70" customWidth="1"/>
    <col min="10754" max="10754" width="8.88181818181818" style="70"/>
    <col min="10755" max="10755" width="51.3818181818182" style="70" customWidth="1"/>
    <col min="10756" max="10756" width="28.3818181818182" style="70" customWidth="1"/>
    <col min="10757" max="11008" width="8.88181818181818" style="70"/>
    <col min="11009" max="11009" width="9.88181818181818" style="70" customWidth="1"/>
    <col min="11010" max="11010" width="8.88181818181818" style="70"/>
    <col min="11011" max="11011" width="51.3818181818182" style="70" customWidth="1"/>
    <col min="11012" max="11012" width="28.3818181818182" style="70" customWidth="1"/>
    <col min="11013" max="11264" width="8.88181818181818" style="70"/>
    <col min="11265" max="11265" width="9.88181818181818" style="70" customWidth="1"/>
    <col min="11266" max="11266" width="8.88181818181818" style="70"/>
    <col min="11267" max="11267" width="51.3818181818182" style="70" customWidth="1"/>
    <col min="11268" max="11268" width="28.3818181818182" style="70" customWidth="1"/>
    <col min="11269" max="11520" width="8.88181818181818" style="70"/>
    <col min="11521" max="11521" width="9.88181818181818" style="70" customWidth="1"/>
    <col min="11522" max="11522" width="8.88181818181818" style="70"/>
    <col min="11523" max="11523" width="51.3818181818182" style="70" customWidth="1"/>
    <col min="11524" max="11524" width="28.3818181818182" style="70" customWidth="1"/>
    <col min="11525" max="11776" width="8.88181818181818" style="70"/>
    <col min="11777" max="11777" width="9.88181818181818" style="70" customWidth="1"/>
    <col min="11778" max="11778" width="8.88181818181818" style="70"/>
    <col min="11779" max="11779" width="51.3818181818182" style="70" customWidth="1"/>
    <col min="11780" max="11780" width="28.3818181818182" style="70" customWidth="1"/>
    <col min="11781" max="12032" width="8.88181818181818" style="70"/>
    <col min="12033" max="12033" width="9.88181818181818" style="70" customWidth="1"/>
    <col min="12034" max="12034" width="8.88181818181818" style="70"/>
    <col min="12035" max="12035" width="51.3818181818182" style="70" customWidth="1"/>
    <col min="12036" max="12036" width="28.3818181818182" style="70" customWidth="1"/>
    <col min="12037" max="12288" width="8.88181818181818" style="70"/>
    <col min="12289" max="12289" width="9.88181818181818" style="70" customWidth="1"/>
    <col min="12290" max="12290" width="8.88181818181818" style="70"/>
    <col min="12291" max="12291" width="51.3818181818182" style="70" customWidth="1"/>
    <col min="12292" max="12292" width="28.3818181818182" style="70" customWidth="1"/>
    <col min="12293" max="12544" width="8.88181818181818" style="70"/>
    <col min="12545" max="12545" width="9.88181818181818" style="70" customWidth="1"/>
    <col min="12546" max="12546" width="8.88181818181818" style="70"/>
    <col min="12547" max="12547" width="51.3818181818182" style="70" customWidth="1"/>
    <col min="12548" max="12548" width="28.3818181818182" style="70" customWidth="1"/>
    <col min="12549" max="12800" width="8.88181818181818" style="70"/>
    <col min="12801" max="12801" width="9.88181818181818" style="70" customWidth="1"/>
    <col min="12802" max="12802" width="8.88181818181818" style="70"/>
    <col min="12803" max="12803" width="51.3818181818182" style="70" customWidth="1"/>
    <col min="12804" max="12804" width="28.3818181818182" style="70" customWidth="1"/>
    <col min="12805" max="13056" width="8.88181818181818" style="70"/>
    <col min="13057" max="13057" width="9.88181818181818" style="70" customWidth="1"/>
    <col min="13058" max="13058" width="8.88181818181818" style="70"/>
    <col min="13059" max="13059" width="51.3818181818182" style="70" customWidth="1"/>
    <col min="13060" max="13060" width="28.3818181818182" style="70" customWidth="1"/>
    <col min="13061" max="13312" width="8.88181818181818" style="70"/>
    <col min="13313" max="13313" width="9.88181818181818" style="70" customWidth="1"/>
    <col min="13314" max="13314" width="8.88181818181818" style="70"/>
    <col min="13315" max="13315" width="51.3818181818182" style="70" customWidth="1"/>
    <col min="13316" max="13316" width="28.3818181818182" style="70" customWidth="1"/>
    <col min="13317" max="13568" width="8.88181818181818" style="70"/>
    <col min="13569" max="13569" width="9.88181818181818" style="70" customWidth="1"/>
    <col min="13570" max="13570" width="8.88181818181818" style="70"/>
    <col min="13571" max="13571" width="51.3818181818182" style="70" customWidth="1"/>
    <col min="13572" max="13572" width="28.3818181818182" style="70" customWidth="1"/>
    <col min="13573" max="13824" width="8.88181818181818" style="70"/>
    <col min="13825" max="13825" width="9.88181818181818" style="70" customWidth="1"/>
    <col min="13826" max="13826" width="8.88181818181818" style="70"/>
    <col min="13827" max="13827" width="51.3818181818182" style="70" customWidth="1"/>
    <col min="13828" max="13828" width="28.3818181818182" style="70" customWidth="1"/>
    <col min="13829" max="14080" width="8.88181818181818" style="70"/>
    <col min="14081" max="14081" width="9.88181818181818" style="70" customWidth="1"/>
    <col min="14082" max="14082" width="8.88181818181818" style="70"/>
    <col min="14083" max="14083" width="51.3818181818182" style="70" customWidth="1"/>
    <col min="14084" max="14084" width="28.3818181818182" style="70" customWidth="1"/>
    <col min="14085" max="14336" width="8.88181818181818" style="70"/>
    <col min="14337" max="14337" width="9.88181818181818" style="70" customWidth="1"/>
    <col min="14338" max="14338" width="8.88181818181818" style="70"/>
    <col min="14339" max="14339" width="51.3818181818182" style="70" customWidth="1"/>
    <col min="14340" max="14340" width="28.3818181818182" style="70" customWidth="1"/>
    <col min="14341" max="14592" width="8.88181818181818" style="70"/>
    <col min="14593" max="14593" width="9.88181818181818" style="70" customWidth="1"/>
    <col min="14594" max="14594" width="8.88181818181818" style="70"/>
    <col min="14595" max="14595" width="51.3818181818182" style="70" customWidth="1"/>
    <col min="14596" max="14596" width="28.3818181818182" style="70" customWidth="1"/>
    <col min="14597" max="14848" width="8.88181818181818" style="70"/>
    <col min="14849" max="14849" width="9.88181818181818" style="70" customWidth="1"/>
    <col min="14850" max="14850" width="8.88181818181818" style="70"/>
    <col min="14851" max="14851" width="51.3818181818182" style="70" customWidth="1"/>
    <col min="14852" max="14852" width="28.3818181818182" style="70" customWidth="1"/>
    <col min="14853" max="15104" width="8.88181818181818" style="70"/>
    <col min="15105" max="15105" width="9.88181818181818" style="70" customWidth="1"/>
    <col min="15106" max="15106" width="8.88181818181818" style="70"/>
    <col min="15107" max="15107" width="51.3818181818182" style="70" customWidth="1"/>
    <col min="15108" max="15108" width="28.3818181818182" style="70" customWidth="1"/>
    <col min="15109" max="15360" width="8.88181818181818" style="70"/>
    <col min="15361" max="15361" width="9.88181818181818" style="70" customWidth="1"/>
    <col min="15362" max="15362" width="8.88181818181818" style="70"/>
    <col min="15363" max="15363" width="51.3818181818182" style="70" customWidth="1"/>
    <col min="15364" max="15364" width="28.3818181818182" style="70" customWidth="1"/>
    <col min="15365" max="15616" width="8.88181818181818" style="70"/>
    <col min="15617" max="15617" width="9.88181818181818" style="70" customWidth="1"/>
    <col min="15618" max="15618" width="8.88181818181818" style="70"/>
    <col min="15619" max="15619" width="51.3818181818182" style="70" customWidth="1"/>
    <col min="15620" max="15620" width="28.3818181818182" style="70" customWidth="1"/>
    <col min="15621" max="15872" width="8.88181818181818" style="70"/>
    <col min="15873" max="15873" width="9.88181818181818" style="70" customWidth="1"/>
    <col min="15874" max="15874" width="8.88181818181818" style="70"/>
    <col min="15875" max="15875" width="51.3818181818182" style="70" customWidth="1"/>
    <col min="15876" max="15876" width="28.3818181818182" style="70" customWidth="1"/>
    <col min="15877" max="16128" width="8.88181818181818" style="70"/>
    <col min="16129" max="16129" width="9.88181818181818" style="70" customWidth="1"/>
    <col min="16130" max="16130" width="8.88181818181818" style="70"/>
    <col min="16131" max="16131" width="51.3818181818182" style="70" customWidth="1"/>
    <col min="16132" max="16132" width="28.3818181818182" style="70" customWidth="1"/>
    <col min="16133" max="16384" width="8.88181818181818" style="70"/>
  </cols>
  <sheetData>
    <row r="1" s="69" customFormat="1" ht="20.25" customHeight="1" spans="1:7">
      <c r="A1" s="71"/>
      <c r="B1" s="72"/>
      <c r="C1" s="73" t="s">
        <v>0</v>
      </c>
      <c r="D1" s="73" t="s">
        <v>21</v>
      </c>
      <c r="E1" s="73" t="s">
        <v>2</v>
      </c>
      <c r="F1" s="74"/>
      <c r="G1" s="75"/>
    </row>
    <row r="2" s="69" customFormat="1" ht="26.1" customHeight="1" spans="1:7">
      <c r="A2" s="76"/>
      <c r="B2" s="77"/>
      <c r="C2" s="73" t="s">
        <v>3</v>
      </c>
      <c r="D2" s="73" t="s">
        <v>22</v>
      </c>
      <c r="E2" s="73" t="s">
        <v>5</v>
      </c>
      <c r="F2" s="74" t="s">
        <v>6</v>
      </c>
      <c r="G2" s="75"/>
    </row>
    <row r="3" s="70" customFormat="1" spans="1:7">
      <c r="A3" s="78" t="s">
        <v>23</v>
      </c>
      <c r="B3" s="78"/>
      <c r="C3" s="78"/>
      <c r="D3" s="78"/>
      <c r="E3" s="78"/>
      <c r="F3" s="78"/>
      <c r="G3" s="78"/>
    </row>
    <row r="4" s="70" customFormat="1" ht="27.6" customHeight="1" spans="1:7">
      <c r="A4" s="79"/>
      <c r="B4" s="79"/>
      <c r="C4" s="79"/>
      <c r="D4" s="79"/>
      <c r="E4" s="79"/>
      <c r="F4" s="79"/>
      <c r="G4" s="79"/>
    </row>
    <row r="5" s="70" customFormat="1" ht="27" spans="1:7">
      <c r="A5" s="80" t="s">
        <v>24</v>
      </c>
      <c r="B5" s="80" t="s">
        <v>25</v>
      </c>
      <c r="C5" s="80" t="s">
        <v>26</v>
      </c>
      <c r="D5" s="80" t="s">
        <v>27</v>
      </c>
      <c r="E5" s="80" t="s">
        <v>28</v>
      </c>
      <c r="F5" s="80" t="s">
        <v>29</v>
      </c>
      <c r="G5" s="80" t="s">
        <v>30</v>
      </c>
    </row>
    <row r="6" s="70" customFormat="1" ht="13" spans="1:7">
      <c r="A6" s="81" t="s">
        <v>10</v>
      </c>
      <c r="B6" s="82">
        <v>45107</v>
      </c>
      <c r="C6" s="83" t="s">
        <v>31</v>
      </c>
      <c r="D6" s="84" t="s">
        <v>32</v>
      </c>
      <c r="E6" s="81" t="s">
        <v>14</v>
      </c>
      <c r="F6" s="81" t="s">
        <v>17</v>
      </c>
      <c r="G6" s="81" t="s">
        <v>17</v>
      </c>
    </row>
    <row r="7" s="70" customFormat="1" ht="13" spans="1:7">
      <c r="A7" s="81"/>
      <c r="B7" s="82"/>
      <c r="C7" s="83"/>
      <c r="D7" s="84"/>
      <c r="E7" s="81"/>
      <c r="F7" s="81"/>
      <c r="G7" s="81"/>
    </row>
  </sheetData>
  <mergeCells count="4">
    <mergeCell ref="F1:G1"/>
    <mergeCell ref="F2:G2"/>
    <mergeCell ref="A1:B2"/>
    <mergeCell ref="A3:G4"/>
  </mergeCells>
  <pageMargins left="0.75" right="0.75" top="1" bottom="1" header="0.5" footer="0.5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8"/>
  <sheetViews>
    <sheetView tabSelected="1" workbookViewId="0">
      <selection activeCell="B4" sqref="B4"/>
    </sheetView>
  </sheetViews>
  <sheetFormatPr defaultColWidth="8.89090909090909" defaultRowHeight="13" outlineLevelCol="5"/>
  <cols>
    <col min="1" max="1" width="11.7818181818182" style="41" customWidth="1"/>
    <col min="2" max="2" width="42.7818181818182" style="41" customWidth="1"/>
    <col min="3" max="4" width="8.89090909090909" style="41"/>
    <col min="5" max="5" width="11.6636363636364" style="41" customWidth="1"/>
    <col min="6" max="6" width="55.5545454545455" style="41" customWidth="1"/>
    <col min="7" max="16384" width="8.89090909090909" style="41"/>
  </cols>
  <sheetData>
    <row r="1" s="41" customFormat="1" ht="13.5" spans="1:5">
      <c r="A1" s="42" t="s">
        <v>33</v>
      </c>
      <c r="B1" s="43"/>
      <c r="C1" s="43"/>
      <c r="D1" s="43"/>
      <c r="E1" s="43"/>
    </row>
    <row r="2" s="41" customFormat="1" spans="1:2">
      <c r="A2" s="44" t="s">
        <v>34</v>
      </c>
      <c r="B2" s="45" t="s">
        <v>35</v>
      </c>
    </row>
    <row r="3" s="41" customFormat="1" spans="1:2">
      <c r="A3" s="44" t="s">
        <v>36</v>
      </c>
      <c r="B3" s="44" t="s">
        <v>37</v>
      </c>
    </row>
    <row r="4" s="41" customFormat="1" spans="1:2">
      <c r="A4" s="44" t="s">
        <v>38</v>
      </c>
      <c r="B4" s="44" t="s">
        <v>39</v>
      </c>
    </row>
    <row r="5" s="41" customFormat="1" spans="1:2">
      <c r="A5" s="44" t="s">
        <v>40</v>
      </c>
      <c r="B5" s="46">
        <v>45107</v>
      </c>
    </row>
    <row r="6" s="41" customFormat="1" spans="1:2">
      <c r="A6" s="44" t="s">
        <v>41</v>
      </c>
      <c r="B6" s="44" t="s">
        <v>14</v>
      </c>
    </row>
    <row r="7" s="41" customFormat="1" spans="1:2">
      <c r="A7" s="44" t="s">
        <v>42</v>
      </c>
      <c r="B7" s="44" t="s">
        <v>43</v>
      </c>
    </row>
    <row r="8" s="41" customFormat="1" spans="2:2">
      <c r="B8" s="47"/>
    </row>
    <row r="9" s="41" customFormat="1" ht="13.75"/>
    <row r="10" s="41" customFormat="1" spans="1:6">
      <c r="A10" s="48" t="s">
        <v>44</v>
      </c>
      <c r="B10" s="49" t="s">
        <v>45</v>
      </c>
      <c r="C10" s="50" t="s">
        <v>46</v>
      </c>
      <c r="D10" s="50" t="s">
        <v>47</v>
      </c>
      <c r="E10" s="51" t="s">
        <v>48</v>
      </c>
      <c r="F10" s="52" t="s">
        <v>49</v>
      </c>
    </row>
    <row r="11" s="41" customFormat="1" ht="39" spans="1:6">
      <c r="A11" s="53">
        <v>1</v>
      </c>
      <c r="B11" s="44" t="s">
        <v>50</v>
      </c>
      <c r="C11" s="54">
        <v>4</v>
      </c>
      <c r="D11" s="54">
        <v>4</v>
      </c>
      <c r="E11" s="55">
        <v>0</v>
      </c>
      <c r="F11" s="56" t="s">
        <v>51</v>
      </c>
    </row>
    <row r="12" s="41" customFormat="1" spans="1:6">
      <c r="A12" s="53">
        <v>2</v>
      </c>
      <c r="B12" s="44" t="s">
        <v>52</v>
      </c>
      <c r="C12" s="54">
        <v>1</v>
      </c>
      <c r="D12" s="54">
        <v>1</v>
      </c>
      <c r="E12" s="55">
        <v>0</v>
      </c>
      <c r="F12" s="57" t="s">
        <v>53</v>
      </c>
    </row>
    <row r="13" s="41" customFormat="1" spans="1:6">
      <c r="A13" s="53">
        <v>3</v>
      </c>
      <c r="B13" s="44" t="s">
        <v>54</v>
      </c>
      <c r="C13" s="54">
        <v>233</v>
      </c>
      <c r="D13" s="54">
        <v>233</v>
      </c>
      <c r="E13" s="55">
        <v>0</v>
      </c>
      <c r="F13" s="57"/>
    </row>
    <row r="14" s="41" customFormat="1" spans="1:6">
      <c r="A14" s="58">
        <v>4</v>
      </c>
      <c r="B14" s="59" t="s">
        <v>55</v>
      </c>
      <c r="C14" s="60">
        <v>126</v>
      </c>
      <c r="D14" s="60">
        <f>C14-E14</f>
        <v>126</v>
      </c>
      <c r="E14" s="60">
        <v>0</v>
      </c>
      <c r="F14" s="61"/>
    </row>
    <row r="15" s="41" customFormat="1" ht="26.75" spans="1:6">
      <c r="A15" s="62">
        <v>5</v>
      </c>
      <c r="B15" s="63" t="s">
        <v>56</v>
      </c>
      <c r="C15" s="64">
        <v>50</v>
      </c>
      <c r="D15" s="64">
        <f>C15-E15</f>
        <v>48</v>
      </c>
      <c r="E15" s="64">
        <v>2</v>
      </c>
      <c r="F15" s="65" t="s">
        <v>57</v>
      </c>
    </row>
    <row r="20" s="41" customFormat="1" ht="13.5" spans="1:1">
      <c r="A20" s="66" t="s">
        <v>58</v>
      </c>
    </row>
    <row r="39" s="41" customFormat="1" ht="13.5" spans="1:1">
      <c r="A39" s="66" t="s">
        <v>59</v>
      </c>
    </row>
    <row r="40" s="41" customFormat="1" spans="1:1">
      <c r="A40" s="41" t="s">
        <v>60</v>
      </c>
    </row>
    <row r="41" s="41" customFormat="1" spans="1:2">
      <c r="A41" s="44" t="s">
        <v>61</v>
      </c>
      <c r="B41" s="44" t="s">
        <v>62</v>
      </c>
    </row>
    <row r="42" s="41" customFormat="1" spans="1:2">
      <c r="A42" s="44" t="s">
        <v>63</v>
      </c>
      <c r="B42" s="67">
        <v>1</v>
      </c>
    </row>
    <row r="43" s="41" customFormat="1" spans="1:2">
      <c r="A43" s="44" t="s">
        <v>64</v>
      </c>
      <c r="B43" s="68">
        <v>0.9984</v>
      </c>
    </row>
    <row r="44" s="41" customFormat="1" spans="1:2">
      <c r="A44" s="44" t="s">
        <v>65</v>
      </c>
      <c r="B44" s="67">
        <v>0.99</v>
      </c>
    </row>
    <row r="45" s="41" customFormat="1" spans="1:2">
      <c r="A45" s="44" t="s">
        <v>66</v>
      </c>
      <c r="B45" s="67">
        <v>0.98</v>
      </c>
    </row>
    <row r="47" s="41" customFormat="1" spans="1:1">
      <c r="A47" s="41" t="s">
        <v>67</v>
      </c>
    </row>
    <row r="48" s="41" customFormat="1" spans="1:1">
      <c r="A48" s="41" t="s">
        <v>68</v>
      </c>
    </row>
  </sheetData>
  <pageMargins left="0.75" right="0.75" top="1" bottom="1" header="0.5" footer="0.5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5"/>
  <sheetViews>
    <sheetView workbookViewId="0">
      <selection activeCell="M10" sqref="M10"/>
    </sheetView>
  </sheetViews>
  <sheetFormatPr defaultColWidth="8.89090909090909" defaultRowHeight="14" outlineLevelRow="4"/>
  <cols>
    <col min="2" max="2" width="13.4454545454545" customWidth="1"/>
    <col min="3" max="3" width="12.2181818181818" customWidth="1"/>
    <col min="4" max="4" width="13" customWidth="1"/>
    <col min="5" max="5" width="15.5545454545455" customWidth="1"/>
    <col min="6" max="6" width="10.7818181818182" customWidth="1"/>
    <col min="9" max="9" width="7.44545454545455" customWidth="1"/>
  </cols>
  <sheetData>
    <row r="1" spans="1:14">
      <c r="A1" s="13" t="s">
        <v>44</v>
      </c>
      <c r="B1" s="13" t="s">
        <v>69</v>
      </c>
      <c r="C1" s="13" t="s">
        <v>70</v>
      </c>
      <c r="D1" s="13" t="s">
        <v>71</v>
      </c>
      <c r="E1" s="13" t="s">
        <v>72</v>
      </c>
      <c r="F1" s="13" t="s">
        <v>61</v>
      </c>
      <c r="G1" s="13" t="s">
        <v>62</v>
      </c>
      <c r="H1" s="13" t="s">
        <v>73</v>
      </c>
      <c r="I1" s="13" t="s">
        <v>74</v>
      </c>
      <c r="J1" s="13" t="s">
        <v>75</v>
      </c>
      <c r="K1" s="13" t="s">
        <v>76</v>
      </c>
      <c r="L1" s="13" t="s">
        <v>77</v>
      </c>
      <c r="M1" s="13" t="s">
        <v>78</v>
      </c>
      <c r="N1" s="13" t="s">
        <v>79</v>
      </c>
    </row>
    <row r="2" spans="1:14">
      <c r="A2" s="38">
        <v>1</v>
      </c>
      <c r="B2" s="38">
        <v>111001</v>
      </c>
      <c r="C2" s="38" t="s">
        <v>80</v>
      </c>
      <c r="D2" s="38" t="s">
        <v>81</v>
      </c>
      <c r="E2" s="38" t="s">
        <v>82</v>
      </c>
      <c r="F2" s="38" t="s">
        <v>63</v>
      </c>
      <c r="G2" s="39">
        <v>1</v>
      </c>
      <c r="H2" s="40" t="s">
        <v>83</v>
      </c>
      <c r="I2" s="40" t="s">
        <v>84</v>
      </c>
      <c r="J2" s="38">
        <f>31*25</f>
        <v>775</v>
      </c>
      <c r="K2" s="38">
        <v>0</v>
      </c>
      <c r="L2" s="39">
        <f>1-K2/J2</f>
        <v>1</v>
      </c>
      <c r="M2" s="38" t="s">
        <v>85</v>
      </c>
      <c r="N2" s="38"/>
    </row>
    <row r="3" spans="1:14">
      <c r="A3" s="38">
        <v>2</v>
      </c>
      <c r="B3" s="38">
        <v>111002</v>
      </c>
      <c r="C3" s="38" t="s">
        <v>80</v>
      </c>
      <c r="D3" s="38" t="s">
        <v>86</v>
      </c>
      <c r="E3" s="38" t="s">
        <v>87</v>
      </c>
      <c r="F3" s="38" t="s">
        <v>63</v>
      </c>
      <c r="G3" s="39">
        <v>1</v>
      </c>
      <c r="H3" s="40" t="s">
        <v>83</v>
      </c>
      <c r="I3" s="40" t="s">
        <v>84</v>
      </c>
      <c r="J3" s="38">
        <v>25</v>
      </c>
      <c r="K3" s="38">
        <v>0</v>
      </c>
      <c r="L3" s="39">
        <f>1-K3/J3</f>
        <v>1</v>
      </c>
      <c r="M3" s="38" t="s">
        <v>85</v>
      </c>
      <c r="N3" s="38"/>
    </row>
    <row r="4" spans="1:14">
      <c r="A4" s="38">
        <v>3</v>
      </c>
      <c r="B4" s="38">
        <v>111003</v>
      </c>
      <c r="C4" s="38" t="s">
        <v>80</v>
      </c>
      <c r="D4" s="38" t="s">
        <v>88</v>
      </c>
      <c r="E4" s="38" t="s">
        <v>89</v>
      </c>
      <c r="F4" s="38" t="s">
        <v>63</v>
      </c>
      <c r="G4" s="39">
        <v>1</v>
      </c>
      <c r="H4" s="40" t="s">
        <v>83</v>
      </c>
      <c r="I4" s="40" t="s">
        <v>84</v>
      </c>
      <c r="J4" s="38">
        <f>31*25</f>
        <v>775</v>
      </c>
      <c r="K4" s="38">
        <v>0</v>
      </c>
      <c r="L4" s="39">
        <f>1-K4/J4</f>
        <v>1</v>
      </c>
      <c r="M4" s="38" t="s">
        <v>85</v>
      </c>
      <c r="N4" s="38"/>
    </row>
    <row r="5" spans="1:14">
      <c r="A5" s="38">
        <v>4</v>
      </c>
      <c r="B5" s="38">
        <v>111004</v>
      </c>
      <c r="C5" s="38" t="s">
        <v>80</v>
      </c>
      <c r="D5" s="38" t="s">
        <v>88</v>
      </c>
      <c r="E5" s="38" t="s">
        <v>90</v>
      </c>
      <c r="F5" s="38" t="s">
        <v>63</v>
      </c>
      <c r="G5" s="39">
        <v>1</v>
      </c>
      <c r="H5" s="40" t="s">
        <v>83</v>
      </c>
      <c r="I5" s="40" t="s">
        <v>84</v>
      </c>
      <c r="J5" s="38">
        <f>31*25</f>
        <v>775</v>
      </c>
      <c r="K5" s="38">
        <v>0</v>
      </c>
      <c r="L5" s="39">
        <f>1-K5/J5</f>
        <v>1</v>
      </c>
      <c r="M5" s="38" t="s">
        <v>85</v>
      </c>
      <c r="N5" s="38"/>
    </row>
  </sheetData>
  <conditionalFormatting sqref="A1:N1">
    <cfRule type="duplicateValues" dxfId="0" priority="1"/>
  </conditionalFormatting>
  <pageMargins left="0.75" right="0.75" top="1" bottom="1" header="0.5" footer="0.5"/>
  <pageSetup paperSize="9" orientation="portrait"/>
  <headerFooter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"/>
  <sheetViews>
    <sheetView workbookViewId="0">
      <selection activeCell="K5" sqref="K5"/>
    </sheetView>
  </sheetViews>
  <sheetFormatPr defaultColWidth="8.89090909090909" defaultRowHeight="14" outlineLevelRow="1"/>
  <cols>
    <col min="2" max="2" width="11.6636363636364" customWidth="1"/>
    <col min="3" max="3" width="10.5545454545455" customWidth="1"/>
    <col min="4" max="4" width="10.6636363636364" customWidth="1"/>
    <col min="5" max="5" width="23.5545454545455" customWidth="1"/>
    <col min="6" max="6" width="9.78181818181818" customWidth="1"/>
    <col min="7" max="7" width="7.89090909090909" customWidth="1"/>
  </cols>
  <sheetData>
    <row r="1" spans="1:14">
      <c r="A1" s="13" t="s">
        <v>44</v>
      </c>
      <c r="B1" s="13" t="s">
        <v>69</v>
      </c>
      <c r="C1" s="13" t="s">
        <v>70</v>
      </c>
      <c r="D1" s="13" t="s">
        <v>71</v>
      </c>
      <c r="E1" s="13" t="s">
        <v>72</v>
      </c>
      <c r="F1" s="13" t="s">
        <v>61</v>
      </c>
      <c r="G1" s="13" t="s">
        <v>62</v>
      </c>
      <c r="H1" s="13" t="s">
        <v>73</v>
      </c>
      <c r="I1" s="13" t="s">
        <v>74</v>
      </c>
      <c r="J1" s="13" t="s">
        <v>75</v>
      </c>
      <c r="K1" s="13" t="s">
        <v>76</v>
      </c>
      <c r="L1" s="13" t="s">
        <v>77</v>
      </c>
      <c r="M1" s="13" t="s">
        <v>78</v>
      </c>
      <c r="N1" s="13" t="s">
        <v>79</v>
      </c>
    </row>
    <row r="2" spans="1:14">
      <c r="A2" s="33">
        <v>1</v>
      </c>
      <c r="B2" s="34" t="s">
        <v>91</v>
      </c>
      <c r="C2" s="35" t="s">
        <v>92</v>
      </c>
      <c r="D2" s="35" t="s">
        <v>93</v>
      </c>
      <c r="E2" s="35" t="s">
        <v>94</v>
      </c>
      <c r="F2" s="34" t="s">
        <v>63</v>
      </c>
      <c r="G2" s="36">
        <v>1</v>
      </c>
      <c r="H2" s="37" t="s">
        <v>83</v>
      </c>
      <c r="I2" s="37" t="s">
        <v>84</v>
      </c>
      <c r="J2" s="37">
        <v>40952</v>
      </c>
      <c r="K2" s="34">
        <v>0</v>
      </c>
      <c r="L2" s="36">
        <f>1-K2/J2</f>
        <v>1</v>
      </c>
      <c r="M2" s="34" t="str">
        <f>IF(L2&gt;=G2,"是",“否”)</f>
        <v>是</v>
      </c>
      <c r="N2" s="8"/>
    </row>
  </sheetData>
  <conditionalFormatting sqref="A1:N1">
    <cfRule type="duplicateValues" dxfId="0" priority="1"/>
  </conditionalFormatting>
  <conditionalFormatting sqref="C2">
    <cfRule type="expression" dxfId="1" priority="6">
      <formula>#REF!="关闭"</formula>
    </cfRule>
  </conditionalFormatting>
  <dataValidations count="1">
    <dataValidation type="list" allowBlank="1" showInputMessage="1" showErrorMessage="1" sqref="H1 F2">
      <formula1>"L1,L2"</formula1>
    </dataValidation>
  </dataValidation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4"/>
  <sheetViews>
    <sheetView topLeftCell="A88" workbookViewId="0">
      <selection activeCell="M4" sqref="M4"/>
    </sheetView>
  </sheetViews>
  <sheetFormatPr defaultColWidth="8.89090909090909" defaultRowHeight="14"/>
  <cols>
    <col min="1" max="1" width="6.44545454545455" customWidth="1"/>
    <col min="2" max="2" width="9.10909090909091" customWidth="1"/>
    <col min="3" max="3" width="27.6636363636364" customWidth="1"/>
    <col min="4" max="4" width="17.5545454545455" customWidth="1"/>
    <col min="5" max="5" width="14.1090909090909" customWidth="1"/>
    <col min="6" max="6" width="11.6636363636364" customWidth="1"/>
    <col min="10" max="10" width="9"/>
    <col min="12" max="12" width="12.8909090909091" style="1"/>
  </cols>
  <sheetData>
    <row r="1" spans="1:14">
      <c r="A1" s="13" t="s">
        <v>44</v>
      </c>
      <c r="B1" s="13" t="s">
        <v>69</v>
      </c>
      <c r="C1" s="13" t="s">
        <v>95</v>
      </c>
      <c r="D1" s="13" t="s">
        <v>96</v>
      </c>
      <c r="E1" s="13" t="s">
        <v>97</v>
      </c>
      <c r="F1" s="13" t="s">
        <v>61</v>
      </c>
      <c r="G1" s="13" t="s">
        <v>62</v>
      </c>
      <c r="H1" s="13" t="s">
        <v>73</v>
      </c>
      <c r="I1" s="13" t="s">
        <v>74</v>
      </c>
      <c r="J1" s="13" t="s">
        <v>75</v>
      </c>
      <c r="K1" s="13" t="s">
        <v>76</v>
      </c>
      <c r="L1" s="28" t="s">
        <v>77</v>
      </c>
      <c r="M1" s="13" t="s">
        <v>78</v>
      </c>
      <c r="N1" s="13" t="s">
        <v>79</v>
      </c>
    </row>
    <row r="2" spans="1:14">
      <c r="A2" s="26">
        <v>1</v>
      </c>
      <c r="B2" s="19">
        <v>10001</v>
      </c>
      <c r="C2" s="19" t="s">
        <v>98</v>
      </c>
      <c r="D2" s="19" t="s">
        <v>99</v>
      </c>
      <c r="E2" s="26" t="s">
        <v>100</v>
      </c>
      <c r="F2" s="19" t="s">
        <v>63</v>
      </c>
      <c r="G2" s="27">
        <v>1</v>
      </c>
      <c r="H2" s="26" t="s">
        <v>101</v>
      </c>
      <c r="I2" s="29">
        <v>1</v>
      </c>
      <c r="J2" s="26">
        <f>VLOOKUP(C:C,'4.几何拓扑逻辑检查'!D:J,7,FALSE)</f>
        <v>39625</v>
      </c>
      <c r="K2" s="26">
        <v>0</v>
      </c>
      <c r="L2" s="30">
        <f>1-K2/J2</f>
        <v>1</v>
      </c>
      <c r="M2" s="8" t="str">
        <f>IF(L2&gt;=I2,"是","否")</f>
        <v>是</v>
      </c>
      <c r="N2" s="26"/>
    </row>
    <row r="3" spans="1:14">
      <c r="A3" s="26">
        <v>2</v>
      </c>
      <c r="B3" s="19">
        <v>10002</v>
      </c>
      <c r="C3" s="19" t="s">
        <v>98</v>
      </c>
      <c r="D3" s="19" t="s">
        <v>102</v>
      </c>
      <c r="E3" s="26" t="s">
        <v>100</v>
      </c>
      <c r="F3" s="19" t="s">
        <v>63</v>
      </c>
      <c r="G3" s="27">
        <v>1</v>
      </c>
      <c r="H3" s="26" t="s">
        <v>101</v>
      </c>
      <c r="I3" s="29">
        <v>1</v>
      </c>
      <c r="J3" s="26">
        <f>VLOOKUP(C:C,'4.几何拓扑逻辑检查'!D:J,7,FALSE)</f>
        <v>39625</v>
      </c>
      <c r="K3" s="26">
        <v>0</v>
      </c>
      <c r="L3" s="30">
        <f t="shared" ref="L3:L66" si="0">1-K3/J3</f>
        <v>1</v>
      </c>
      <c r="M3" s="8" t="str">
        <f t="shared" ref="M3:M66" si="1">IF(L3&gt;=I3,"是","否")</f>
        <v>是</v>
      </c>
      <c r="N3" s="26"/>
    </row>
    <row r="4" spans="1:14">
      <c r="A4" s="26">
        <v>3</v>
      </c>
      <c r="B4" s="19">
        <v>10003</v>
      </c>
      <c r="C4" s="19" t="s">
        <v>98</v>
      </c>
      <c r="D4" s="19" t="s">
        <v>103</v>
      </c>
      <c r="E4" s="26" t="s">
        <v>100</v>
      </c>
      <c r="F4" s="19" t="s">
        <v>63</v>
      </c>
      <c r="G4" s="27">
        <v>1</v>
      </c>
      <c r="H4" s="26" t="s">
        <v>101</v>
      </c>
      <c r="I4" s="29">
        <v>1</v>
      </c>
      <c r="J4" s="26">
        <f>VLOOKUP(C:C,'4.几何拓扑逻辑检查'!D:J,7,FALSE)</f>
        <v>39625</v>
      </c>
      <c r="K4" s="26">
        <v>0</v>
      </c>
      <c r="L4" s="30">
        <f t="shared" si="0"/>
        <v>1</v>
      </c>
      <c r="M4" s="8" t="str">
        <f t="shared" si="1"/>
        <v>是</v>
      </c>
      <c r="N4" s="26"/>
    </row>
    <row r="5" spans="1:14">
      <c r="A5" s="26">
        <v>4</v>
      </c>
      <c r="B5" s="19">
        <v>10004</v>
      </c>
      <c r="C5" s="19" t="s">
        <v>98</v>
      </c>
      <c r="D5" s="19" t="s">
        <v>104</v>
      </c>
      <c r="E5" s="26" t="s">
        <v>100</v>
      </c>
      <c r="F5" s="19" t="s">
        <v>63</v>
      </c>
      <c r="G5" s="27">
        <v>1</v>
      </c>
      <c r="H5" s="26" t="s">
        <v>101</v>
      </c>
      <c r="I5" s="29">
        <v>1</v>
      </c>
      <c r="J5" s="26">
        <f>VLOOKUP(C:C,'4.几何拓扑逻辑检查'!D:J,7,FALSE)</f>
        <v>39625</v>
      </c>
      <c r="K5" s="26">
        <v>0</v>
      </c>
      <c r="L5" s="30">
        <f t="shared" si="0"/>
        <v>1</v>
      </c>
      <c r="M5" s="8" t="str">
        <f t="shared" si="1"/>
        <v>是</v>
      </c>
      <c r="N5" s="26"/>
    </row>
    <row r="6" spans="1:14">
      <c r="A6" s="26">
        <v>5</v>
      </c>
      <c r="B6" s="19">
        <v>10005</v>
      </c>
      <c r="C6" s="19" t="s">
        <v>98</v>
      </c>
      <c r="D6" s="19" t="s">
        <v>105</v>
      </c>
      <c r="E6" s="26" t="s">
        <v>100</v>
      </c>
      <c r="F6" s="19" t="s">
        <v>63</v>
      </c>
      <c r="G6" s="27">
        <v>1</v>
      </c>
      <c r="H6" s="26" t="s">
        <v>101</v>
      </c>
      <c r="I6" s="29">
        <v>1</v>
      </c>
      <c r="J6" s="26">
        <f>VLOOKUP(C:C,'4.几何拓扑逻辑检查'!D:J,7,FALSE)</f>
        <v>39625</v>
      </c>
      <c r="K6" s="26">
        <v>0</v>
      </c>
      <c r="L6" s="30">
        <f t="shared" si="0"/>
        <v>1</v>
      </c>
      <c r="M6" s="8" t="str">
        <f t="shared" si="1"/>
        <v>是</v>
      </c>
      <c r="N6" s="26"/>
    </row>
    <row r="7" spans="1:14">
      <c r="A7" s="26">
        <v>6</v>
      </c>
      <c r="B7" s="19">
        <v>10006</v>
      </c>
      <c r="C7" s="19" t="s">
        <v>98</v>
      </c>
      <c r="D7" s="19" t="s">
        <v>106</v>
      </c>
      <c r="E7" s="26" t="s">
        <v>100</v>
      </c>
      <c r="F7" s="19" t="s">
        <v>63</v>
      </c>
      <c r="G7" s="27">
        <v>1</v>
      </c>
      <c r="H7" s="26" t="s">
        <v>101</v>
      </c>
      <c r="I7" s="29">
        <v>1</v>
      </c>
      <c r="J7" s="26">
        <f>VLOOKUP(C:C,'4.几何拓扑逻辑检查'!D:J,7,FALSE)</f>
        <v>39625</v>
      </c>
      <c r="K7" s="26">
        <v>0</v>
      </c>
      <c r="L7" s="30">
        <f t="shared" si="0"/>
        <v>1</v>
      </c>
      <c r="M7" s="8" t="str">
        <f t="shared" si="1"/>
        <v>是</v>
      </c>
      <c r="N7" s="26"/>
    </row>
    <row r="8" spans="1:14">
      <c r="A8" s="26">
        <v>7</v>
      </c>
      <c r="B8" s="19">
        <v>10007</v>
      </c>
      <c r="C8" s="19" t="s">
        <v>98</v>
      </c>
      <c r="D8" s="19" t="s">
        <v>107</v>
      </c>
      <c r="E8" s="26" t="s">
        <v>100</v>
      </c>
      <c r="F8" s="19" t="s">
        <v>63</v>
      </c>
      <c r="G8" s="27">
        <v>1</v>
      </c>
      <c r="H8" s="26" t="s">
        <v>101</v>
      </c>
      <c r="I8" s="29">
        <v>1</v>
      </c>
      <c r="J8" s="26">
        <f>VLOOKUP(C:C,'4.几何拓扑逻辑检查'!D:J,7,FALSE)</f>
        <v>39625</v>
      </c>
      <c r="K8" s="26">
        <v>0</v>
      </c>
      <c r="L8" s="30">
        <f t="shared" si="0"/>
        <v>1</v>
      </c>
      <c r="M8" s="8" t="str">
        <f t="shared" si="1"/>
        <v>是</v>
      </c>
      <c r="N8" s="26"/>
    </row>
    <row r="9" spans="1:14">
      <c r="A9" s="26">
        <v>8</v>
      </c>
      <c r="B9" s="19">
        <v>10008</v>
      </c>
      <c r="C9" s="19" t="s">
        <v>98</v>
      </c>
      <c r="D9" s="19" t="s">
        <v>108</v>
      </c>
      <c r="E9" s="26" t="s">
        <v>100</v>
      </c>
      <c r="F9" s="19" t="s">
        <v>63</v>
      </c>
      <c r="G9" s="27">
        <v>1</v>
      </c>
      <c r="H9" s="26" t="s">
        <v>101</v>
      </c>
      <c r="I9" s="29">
        <v>1</v>
      </c>
      <c r="J9" s="26">
        <f>VLOOKUP(C:C,'4.几何拓扑逻辑检查'!D:J,7,FALSE)</f>
        <v>39625</v>
      </c>
      <c r="K9" s="26">
        <v>0</v>
      </c>
      <c r="L9" s="30">
        <f t="shared" si="0"/>
        <v>1</v>
      </c>
      <c r="M9" s="8" t="str">
        <f t="shared" si="1"/>
        <v>是</v>
      </c>
      <c r="N9" s="26"/>
    </row>
    <row r="10" spans="1:14">
      <c r="A10" s="26">
        <v>9</v>
      </c>
      <c r="B10" s="19">
        <v>10009</v>
      </c>
      <c r="C10" s="19" t="s">
        <v>98</v>
      </c>
      <c r="D10" s="19" t="s">
        <v>109</v>
      </c>
      <c r="E10" s="26" t="s">
        <v>100</v>
      </c>
      <c r="F10" s="19" t="s">
        <v>63</v>
      </c>
      <c r="G10" s="27">
        <v>1</v>
      </c>
      <c r="H10" s="26" t="s">
        <v>101</v>
      </c>
      <c r="I10" s="29">
        <v>1</v>
      </c>
      <c r="J10" s="26">
        <f>VLOOKUP(C:C,'4.几何拓扑逻辑检查'!D:J,7,FALSE)</f>
        <v>39625</v>
      </c>
      <c r="K10" s="26">
        <v>0</v>
      </c>
      <c r="L10" s="30">
        <f t="shared" si="0"/>
        <v>1</v>
      </c>
      <c r="M10" s="8" t="str">
        <f t="shared" si="1"/>
        <v>是</v>
      </c>
      <c r="N10" s="26"/>
    </row>
    <row r="11" spans="1:14">
      <c r="A11" s="26">
        <v>10</v>
      </c>
      <c r="B11" s="19">
        <v>10011</v>
      </c>
      <c r="C11" s="19" t="s">
        <v>98</v>
      </c>
      <c r="D11" s="19" t="s">
        <v>110</v>
      </c>
      <c r="E11" s="26" t="s">
        <v>100</v>
      </c>
      <c r="F11" s="19" t="s">
        <v>63</v>
      </c>
      <c r="G11" s="27">
        <v>1</v>
      </c>
      <c r="H11" s="26" t="s">
        <v>101</v>
      </c>
      <c r="I11" s="29">
        <v>1</v>
      </c>
      <c r="J11" s="26">
        <f>VLOOKUP(C:C,'4.几何拓扑逻辑检查'!D:J,7,FALSE)</f>
        <v>39625</v>
      </c>
      <c r="K11" s="26">
        <v>0</v>
      </c>
      <c r="L11" s="30">
        <f t="shared" si="0"/>
        <v>1</v>
      </c>
      <c r="M11" s="8" t="str">
        <f t="shared" si="1"/>
        <v>是</v>
      </c>
      <c r="N11" s="26"/>
    </row>
    <row r="12" spans="1:14">
      <c r="A12" s="26">
        <v>11</v>
      </c>
      <c r="B12" s="19">
        <v>10012</v>
      </c>
      <c r="C12" s="19" t="s">
        <v>98</v>
      </c>
      <c r="D12" s="19" t="s">
        <v>111</v>
      </c>
      <c r="E12" s="26" t="s">
        <v>100</v>
      </c>
      <c r="F12" s="19" t="s">
        <v>63</v>
      </c>
      <c r="G12" s="27">
        <v>1</v>
      </c>
      <c r="H12" s="26" t="s">
        <v>101</v>
      </c>
      <c r="I12" s="29">
        <v>1</v>
      </c>
      <c r="J12" s="26">
        <f>VLOOKUP(C:C,'4.几何拓扑逻辑检查'!D:J,7,FALSE)</f>
        <v>39625</v>
      </c>
      <c r="K12" s="26">
        <v>0</v>
      </c>
      <c r="L12" s="30">
        <f t="shared" si="0"/>
        <v>1</v>
      </c>
      <c r="M12" s="8" t="str">
        <f t="shared" si="1"/>
        <v>是</v>
      </c>
      <c r="N12" s="26"/>
    </row>
    <row r="13" spans="1:14">
      <c r="A13" s="26">
        <v>12</v>
      </c>
      <c r="B13" s="19">
        <v>10013</v>
      </c>
      <c r="C13" s="19" t="s">
        <v>98</v>
      </c>
      <c r="D13" s="19" t="s">
        <v>112</v>
      </c>
      <c r="E13" s="26" t="s">
        <v>100</v>
      </c>
      <c r="F13" s="19" t="s">
        <v>63</v>
      </c>
      <c r="G13" s="27">
        <v>1</v>
      </c>
      <c r="H13" s="26" t="s">
        <v>101</v>
      </c>
      <c r="I13" s="29">
        <v>1</v>
      </c>
      <c r="J13" s="26">
        <f>VLOOKUP(C:C,'4.几何拓扑逻辑检查'!D:J,7,FALSE)</f>
        <v>39625</v>
      </c>
      <c r="K13" s="26">
        <v>0</v>
      </c>
      <c r="L13" s="30">
        <f t="shared" si="0"/>
        <v>1</v>
      </c>
      <c r="M13" s="8" t="str">
        <f t="shared" si="1"/>
        <v>是</v>
      </c>
      <c r="N13" s="26"/>
    </row>
    <row r="14" spans="1:14">
      <c r="A14" s="26">
        <v>13</v>
      </c>
      <c r="B14" s="19">
        <v>10014</v>
      </c>
      <c r="C14" s="19" t="s">
        <v>98</v>
      </c>
      <c r="D14" s="19" t="s">
        <v>113</v>
      </c>
      <c r="E14" s="26" t="s">
        <v>100</v>
      </c>
      <c r="F14" s="19" t="s">
        <v>63</v>
      </c>
      <c r="G14" s="27">
        <v>1</v>
      </c>
      <c r="H14" s="26" t="s">
        <v>101</v>
      </c>
      <c r="I14" s="29">
        <v>1</v>
      </c>
      <c r="J14" s="26">
        <f>VLOOKUP(C:C,'4.几何拓扑逻辑检查'!D:J,7,FALSE)</f>
        <v>39625</v>
      </c>
      <c r="K14" s="26">
        <v>0</v>
      </c>
      <c r="L14" s="30">
        <f t="shared" si="0"/>
        <v>1</v>
      </c>
      <c r="M14" s="8" t="str">
        <f t="shared" si="1"/>
        <v>是</v>
      </c>
      <c r="N14" s="26"/>
    </row>
    <row r="15" spans="1:14">
      <c r="A15" s="26">
        <v>14</v>
      </c>
      <c r="B15" s="19">
        <v>10015</v>
      </c>
      <c r="C15" s="19" t="s">
        <v>98</v>
      </c>
      <c r="D15" s="19" t="s">
        <v>114</v>
      </c>
      <c r="E15" s="26" t="s">
        <v>100</v>
      </c>
      <c r="F15" s="19" t="s">
        <v>63</v>
      </c>
      <c r="G15" s="27">
        <v>1</v>
      </c>
      <c r="H15" s="26" t="s">
        <v>101</v>
      </c>
      <c r="I15" s="29">
        <v>1</v>
      </c>
      <c r="J15" s="26">
        <f>VLOOKUP(C:C,'4.几何拓扑逻辑检查'!D:J,7,FALSE)</f>
        <v>39625</v>
      </c>
      <c r="K15" s="26">
        <v>0</v>
      </c>
      <c r="L15" s="30">
        <f t="shared" si="0"/>
        <v>1</v>
      </c>
      <c r="M15" s="8" t="str">
        <f t="shared" si="1"/>
        <v>是</v>
      </c>
      <c r="N15" s="26"/>
    </row>
    <row r="16" spans="1:14">
      <c r="A16" s="26">
        <v>15</v>
      </c>
      <c r="B16" s="19">
        <v>10017</v>
      </c>
      <c r="C16" s="19" t="s">
        <v>98</v>
      </c>
      <c r="D16" s="19" t="s">
        <v>115</v>
      </c>
      <c r="E16" s="26" t="s">
        <v>100</v>
      </c>
      <c r="F16" s="19" t="s">
        <v>63</v>
      </c>
      <c r="G16" s="27">
        <v>1</v>
      </c>
      <c r="H16" s="26" t="s">
        <v>101</v>
      </c>
      <c r="I16" s="29">
        <v>1</v>
      </c>
      <c r="J16" s="26">
        <f>VLOOKUP(C:C,'4.几何拓扑逻辑检查'!D:J,7,FALSE)</f>
        <v>39625</v>
      </c>
      <c r="K16" s="26">
        <v>0</v>
      </c>
      <c r="L16" s="30">
        <f t="shared" si="0"/>
        <v>1</v>
      </c>
      <c r="M16" s="8" t="str">
        <f t="shared" si="1"/>
        <v>是</v>
      </c>
      <c r="N16" s="26"/>
    </row>
    <row r="17" spans="1:14">
      <c r="A17" s="26">
        <v>16</v>
      </c>
      <c r="B17" s="19">
        <v>10019</v>
      </c>
      <c r="C17" s="19" t="s">
        <v>98</v>
      </c>
      <c r="D17" s="19" t="s">
        <v>116</v>
      </c>
      <c r="E17" s="26" t="s">
        <v>100</v>
      </c>
      <c r="F17" s="19" t="s">
        <v>63</v>
      </c>
      <c r="G17" s="27">
        <v>1</v>
      </c>
      <c r="H17" s="26" t="s">
        <v>101</v>
      </c>
      <c r="I17" s="29">
        <v>1</v>
      </c>
      <c r="J17" s="26">
        <f>VLOOKUP(C:C,'4.几何拓扑逻辑检查'!D:J,7,FALSE)</f>
        <v>39625</v>
      </c>
      <c r="K17" s="26">
        <v>0</v>
      </c>
      <c r="L17" s="30">
        <f t="shared" si="0"/>
        <v>1</v>
      </c>
      <c r="M17" s="8" t="str">
        <f t="shared" si="1"/>
        <v>是</v>
      </c>
      <c r="N17" s="26"/>
    </row>
    <row r="18" spans="1:14">
      <c r="A18" s="26">
        <v>17</v>
      </c>
      <c r="B18" s="19">
        <v>10021</v>
      </c>
      <c r="C18" s="19" t="s">
        <v>98</v>
      </c>
      <c r="D18" s="19" t="s">
        <v>117</v>
      </c>
      <c r="E18" s="26" t="s">
        <v>100</v>
      </c>
      <c r="F18" s="19" t="s">
        <v>63</v>
      </c>
      <c r="G18" s="27">
        <v>1</v>
      </c>
      <c r="H18" s="26" t="s">
        <v>101</v>
      </c>
      <c r="I18" s="29">
        <v>1</v>
      </c>
      <c r="J18" s="26">
        <f>VLOOKUP(C:C,'4.几何拓扑逻辑检查'!D:J,7,FALSE)</f>
        <v>39625</v>
      </c>
      <c r="K18" s="26">
        <v>0</v>
      </c>
      <c r="L18" s="30">
        <f t="shared" si="0"/>
        <v>1</v>
      </c>
      <c r="M18" s="8" t="str">
        <f t="shared" si="1"/>
        <v>是</v>
      </c>
      <c r="N18" s="26"/>
    </row>
    <row r="19" spans="1:14">
      <c r="A19" s="26">
        <v>18</v>
      </c>
      <c r="B19" s="19">
        <v>10023</v>
      </c>
      <c r="C19" s="19" t="s">
        <v>98</v>
      </c>
      <c r="D19" s="19" t="s">
        <v>118</v>
      </c>
      <c r="E19" s="26" t="s">
        <v>100</v>
      </c>
      <c r="F19" s="19" t="s">
        <v>63</v>
      </c>
      <c r="G19" s="27">
        <v>1</v>
      </c>
      <c r="H19" s="26" t="s">
        <v>101</v>
      </c>
      <c r="I19" s="29">
        <v>1</v>
      </c>
      <c r="J19" s="26">
        <f>VLOOKUP(C:C,'4.几何拓扑逻辑检查'!D:J,7,FALSE)</f>
        <v>39625</v>
      </c>
      <c r="K19" s="26">
        <v>0</v>
      </c>
      <c r="L19" s="30">
        <f t="shared" si="0"/>
        <v>1</v>
      </c>
      <c r="M19" s="8" t="str">
        <f t="shared" si="1"/>
        <v>是</v>
      </c>
      <c r="N19" s="26"/>
    </row>
    <row r="20" spans="1:14">
      <c r="A20" s="26">
        <v>19</v>
      </c>
      <c r="B20" s="19">
        <v>10037</v>
      </c>
      <c r="C20" s="19" t="s">
        <v>119</v>
      </c>
      <c r="D20" s="19" t="s">
        <v>120</v>
      </c>
      <c r="E20" s="26" t="s">
        <v>100</v>
      </c>
      <c r="F20" s="19" t="s">
        <v>63</v>
      </c>
      <c r="G20" s="27">
        <v>1</v>
      </c>
      <c r="H20" s="26" t="s">
        <v>101</v>
      </c>
      <c r="I20" s="29">
        <v>1</v>
      </c>
      <c r="J20" s="26">
        <f>VLOOKUP(C:C,'4.几何拓扑逻辑检查'!D:J,7,FALSE)</f>
        <v>55050</v>
      </c>
      <c r="K20" s="26">
        <v>0</v>
      </c>
      <c r="L20" s="30">
        <f t="shared" si="0"/>
        <v>1</v>
      </c>
      <c r="M20" s="8" t="str">
        <f t="shared" si="1"/>
        <v>是</v>
      </c>
      <c r="N20" s="26"/>
    </row>
    <row r="21" spans="1:14">
      <c r="A21" s="26">
        <v>20</v>
      </c>
      <c r="B21" s="19">
        <v>10055</v>
      </c>
      <c r="C21" s="19" t="s">
        <v>119</v>
      </c>
      <c r="D21" s="19" t="s">
        <v>121</v>
      </c>
      <c r="E21" s="26" t="s">
        <v>100</v>
      </c>
      <c r="F21" s="19" t="s">
        <v>63</v>
      </c>
      <c r="G21" s="27">
        <v>1</v>
      </c>
      <c r="H21" s="26" t="s">
        <v>101</v>
      </c>
      <c r="I21" s="29">
        <v>1</v>
      </c>
      <c r="J21" s="26">
        <f>VLOOKUP(C:C,'4.几何拓扑逻辑检查'!D:J,7,FALSE)</f>
        <v>55050</v>
      </c>
      <c r="K21" s="26">
        <v>0</v>
      </c>
      <c r="L21" s="30">
        <f t="shared" si="0"/>
        <v>1</v>
      </c>
      <c r="M21" s="8" t="str">
        <f t="shared" si="1"/>
        <v>是</v>
      </c>
      <c r="N21" s="26"/>
    </row>
    <row r="22" spans="1:14">
      <c r="A22" s="26">
        <v>21</v>
      </c>
      <c r="B22" s="19">
        <v>10038</v>
      </c>
      <c r="C22" s="19" t="s">
        <v>119</v>
      </c>
      <c r="D22" s="19" t="s">
        <v>122</v>
      </c>
      <c r="E22" s="26" t="s">
        <v>100</v>
      </c>
      <c r="F22" s="19" t="s">
        <v>63</v>
      </c>
      <c r="G22" s="27">
        <v>1</v>
      </c>
      <c r="H22" s="26" t="s">
        <v>101</v>
      </c>
      <c r="I22" s="29">
        <v>1</v>
      </c>
      <c r="J22" s="26">
        <f>VLOOKUP(C:C,'4.几何拓扑逻辑检查'!D:J,7,FALSE)</f>
        <v>55050</v>
      </c>
      <c r="K22" s="26">
        <v>0</v>
      </c>
      <c r="L22" s="30">
        <f t="shared" si="0"/>
        <v>1</v>
      </c>
      <c r="M22" s="8" t="str">
        <f t="shared" si="1"/>
        <v>是</v>
      </c>
      <c r="N22" s="26"/>
    </row>
    <row r="23" spans="1:14">
      <c r="A23" s="26">
        <v>22</v>
      </c>
      <c r="B23" s="19">
        <v>10039</v>
      </c>
      <c r="C23" s="19" t="s">
        <v>119</v>
      </c>
      <c r="D23" s="19" t="s">
        <v>123</v>
      </c>
      <c r="E23" s="26" t="s">
        <v>100</v>
      </c>
      <c r="F23" s="19" t="s">
        <v>63</v>
      </c>
      <c r="G23" s="27">
        <v>1</v>
      </c>
      <c r="H23" s="26" t="s">
        <v>101</v>
      </c>
      <c r="I23" s="29">
        <v>1</v>
      </c>
      <c r="J23" s="26">
        <f>VLOOKUP(C:C,'4.几何拓扑逻辑检查'!D:J,7,FALSE)</f>
        <v>55050</v>
      </c>
      <c r="K23" s="26">
        <v>0</v>
      </c>
      <c r="L23" s="30">
        <f t="shared" si="0"/>
        <v>1</v>
      </c>
      <c r="M23" s="8" t="str">
        <f t="shared" si="1"/>
        <v>是</v>
      </c>
      <c r="N23" s="26"/>
    </row>
    <row r="24" spans="1:14">
      <c r="A24" s="26">
        <v>23</v>
      </c>
      <c r="B24" s="19">
        <v>10040</v>
      </c>
      <c r="C24" s="19" t="s">
        <v>119</v>
      </c>
      <c r="D24" s="19" t="s">
        <v>124</v>
      </c>
      <c r="E24" s="26" t="s">
        <v>100</v>
      </c>
      <c r="F24" s="19" t="s">
        <v>63</v>
      </c>
      <c r="G24" s="27">
        <v>1</v>
      </c>
      <c r="H24" s="26" t="s">
        <v>101</v>
      </c>
      <c r="I24" s="29">
        <v>1</v>
      </c>
      <c r="J24" s="26">
        <f>VLOOKUP(C:C,'4.几何拓扑逻辑检查'!D:J,7,FALSE)</f>
        <v>55050</v>
      </c>
      <c r="K24" s="26">
        <v>0</v>
      </c>
      <c r="L24" s="30">
        <f t="shared" si="0"/>
        <v>1</v>
      </c>
      <c r="M24" s="8" t="str">
        <f t="shared" si="1"/>
        <v>是</v>
      </c>
      <c r="N24" s="26"/>
    </row>
    <row r="25" spans="1:14">
      <c r="A25" s="26">
        <v>24</v>
      </c>
      <c r="B25" s="19">
        <v>10041</v>
      </c>
      <c r="C25" s="19" t="s">
        <v>119</v>
      </c>
      <c r="D25" s="19" t="s">
        <v>125</v>
      </c>
      <c r="E25" s="26" t="s">
        <v>100</v>
      </c>
      <c r="F25" s="19" t="s">
        <v>63</v>
      </c>
      <c r="G25" s="27">
        <v>1</v>
      </c>
      <c r="H25" s="26" t="s">
        <v>101</v>
      </c>
      <c r="I25" s="29">
        <v>1</v>
      </c>
      <c r="J25" s="26">
        <f>VLOOKUP(C:C,'4.几何拓扑逻辑检查'!D:J,7,FALSE)</f>
        <v>55050</v>
      </c>
      <c r="K25" s="26">
        <v>0</v>
      </c>
      <c r="L25" s="30">
        <f t="shared" si="0"/>
        <v>1</v>
      </c>
      <c r="M25" s="8" t="str">
        <f t="shared" si="1"/>
        <v>是</v>
      </c>
      <c r="N25" s="26"/>
    </row>
    <row r="26" spans="1:14">
      <c r="A26" s="26">
        <v>25</v>
      </c>
      <c r="B26" s="19">
        <v>10042</v>
      </c>
      <c r="C26" s="19" t="s">
        <v>119</v>
      </c>
      <c r="D26" s="19" t="s">
        <v>110</v>
      </c>
      <c r="E26" s="26" t="s">
        <v>100</v>
      </c>
      <c r="F26" s="19" t="s">
        <v>63</v>
      </c>
      <c r="G26" s="27">
        <v>1</v>
      </c>
      <c r="H26" s="26" t="s">
        <v>101</v>
      </c>
      <c r="I26" s="29">
        <v>1</v>
      </c>
      <c r="J26" s="26">
        <f>VLOOKUP(C:C,'4.几何拓扑逻辑检查'!D:J,7,FALSE)</f>
        <v>55050</v>
      </c>
      <c r="K26" s="26">
        <v>0</v>
      </c>
      <c r="L26" s="30">
        <f t="shared" si="0"/>
        <v>1</v>
      </c>
      <c r="M26" s="8" t="str">
        <f t="shared" si="1"/>
        <v>是</v>
      </c>
      <c r="N26" s="26"/>
    </row>
    <row r="27" spans="1:14">
      <c r="A27" s="26">
        <v>26</v>
      </c>
      <c r="B27" s="19">
        <v>10043</v>
      </c>
      <c r="C27" s="19" t="s">
        <v>119</v>
      </c>
      <c r="D27" s="19" t="s">
        <v>111</v>
      </c>
      <c r="E27" s="26" t="s">
        <v>100</v>
      </c>
      <c r="F27" s="19" t="s">
        <v>63</v>
      </c>
      <c r="G27" s="27">
        <v>1</v>
      </c>
      <c r="H27" s="26" t="s">
        <v>101</v>
      </c>
      <c r="I27" s="29">
        <v>1</v>
      </c>
      <c r="J27" s="26">
        <f>VLOOKUP(C:C,'4.几何拓扑逻辑检查'!D:J,7,FALSE)</f>
        <v>55050</v>
      </c>
      <c r="K27" s="26">
        <v>0</v>
      </c>
      <c r="L27" s="30">
        <f t="shared" si="0"/>
        <v>1</v>
      </c>
      <c r="M27" s="8" t="str">
        <f t="shared" si="1"/>
        <v>是</v>
      </c>
      <c r="N27" s="26"/>
    </row>
    <row r="28" spans="1:14">
      <c r="A28" s="26">
        <v>27</v>
      </c>
      <c r="B28" s="19">
        <v>10044</v>
      </c>
      <c r="C28" s="19" t="s">
        <v>119</v>
      </c>
      <c r="D28" s="19" t="s">
        <v>112</v>
      </c>
      <c r="E28" s="26" t="s">
        <v>100</v>
      </c>
      <c r="F28" s="19" t="s">
        <v>63</v>
      </c>
      <c r="G28" s="27">
        <v>1</v>
      </c>
      <c r="H28" s="26" t="s">
        <v>101</v>
      </c>
      <c r="I28" s="29">
        <v>1</v>
      </c>
      <c r="J28" s="26">
        <f>VLOOKUP(C:C,'4.几何拓扑逻辑检查'!D:J,7,FALSE)</f>
        <v>55050</v>
      </c>
      <c r="K28" s="26">
        <v>0</v>
      </c>
      <c r="L28" s="30">
        <f t="shared" si="0"/>
        <v>1</v>
      </c>
      <c r="M28" s="8" t="str">
        <f t="shared" si="1"/>
        <v>是</v>
      </c>
      <c r="N28" s="26"/>
    </row>
    <row r="29" spans="1:14">
      <c r="A29" s="26">
        <v>28</v>
      </c>
      <c r="B29" s="19">
        <v>10045</v>
      </c>
      <c r="C29" s="19" t="s">
        <v>119</v>
      </c>
      <c r="D29" s="19" t="s">
        <v>113</v>
      </c>
      <c r="E29" s="26" t="s">
        <v>100</v>
      </c>
      <c r="F29" s="19" t="s">
        <v>63</v>
      </c>
      <c r="G29" s="27">
        <v>1</v>
      </c>
      <c r="H29" s="26" t="s">
        <v>101</v>
      </c>
      <c r="I29" s="29">
        <v>1</v>
      </c>
      <c r="J29" s="26">
        <f>VLOOKUP(C:C,'4.几何拓扑逻辑检查'!D:J,7,FALSE)</f>
        <v>55050</v>
      </c>
      <c r="K29" s="26">
        <v>0</v>
      </c>
      <c r="L29" s="30">
        <f t="shared" si="0"/>
        <v>1</v>
      </c>
      <c r="M29" s="8" t="str">
        <f t="shared" si="1"/>
        <v>是</v>
      </c>
      <c r="N29" s="26"/>
    </row>
    <row r="30" spans="1:14">
      <c r="A30" s="26">
        <v>29</v>
      </c>
      <c r="B30" s="19">
        <v>10047</v>
      </c>
      <c r="C30" s="19" t="s">
        <v>119</v>
      </c>
      <c r="D30" s="19" t="s">
        <v>117</v>
      </c>
      <c r="E30" s="26" t="s">
        <v>100</v>
      </c>
      <c r="F30" s="19" t="s">
        <v>63</v>
      </c>
      <c r="G30" s="27">
        <v>1</v>
      </c>
      <c r="H30" s="26" t="s">
        <v>101</v>
      </c>
      <c r="I30" s="29">
        <v>1</v>
      </c>
      <c r="J30" s="26">
        <f>VLOOKUP(C:C,'4.几何拓扑逻辑检查'!D:J,7,FALSE)</f>
        <v>55050</v>
      </c>
      <c r="K30" s="26">
        <v>0</v>
      </c>
      <c r="L30" s="30">
        <f t="shared" si="0"/>
        <v>1</v>
      </c>
      <c r="M30" s="8" t="str">
        <f t="shared" si="1"/>
        <v>是</v>
      </c>
      <c r="N30" s="26"/>
    </row>
    <row r="31" spans="1:14">
      <c r="A31" s="26">
        <v>30</v>
      </c>
      <c r="B31" s="19">
        <v>10050</v>
      </c>
      <c r="C31" s="19" t="s">
        <v>119</v>
      </c>
      <c r="D31" s="19" t="s">
        <v>99</v>
      </c>
      <c r="E31" s="26" t="s">
        <v>100</v>
      </c>
      <c r="F31" s="19" t="s">
        <v>63</v>
      </c>
      <c r="G31" s="27">
        <v>1</v>
      </c>
      <c r="H31" s="26" t="s">
        <v>101</v>
      </c>
      <c r="I31" s="29">
        <v>1</v>
      </c>
      <c r="J31" s="26">
        <f>VLOOKUP(C:C,'4.几何拓扑逻辑检查'!D:J,7,FALSE)</f>
        <v>55050</v>
      </c>
      <c r="K31" s="26">
        <v>0</v>
      </c>
      <c r="L31" s="30">
        <f t="shared" si="0"/>
        <v>1</v>
      </c>
      <c r="M31" s="8" t="str">
        <f t="shared" si="1"/>
        <v>是</v>
      </c>
      <c r="N31" s="26"/>
    </row>
    <row r="32" spans="1:14">
      <c r="A32" s="26">
        <v>31</v>
      </c>
      <c r="B32" s="19">
        <v>10051</v>
      </c>
      <c r="C32" s="19" t="s">
        <v>119</v>
      </c>
      <c r="D32" s="19" t="s">
        <v>118</v>
      </c>
      <c r="E32" s="26" t="s">
        <v>100</v>
      </c>
      <c r="F32" s="19" t="s">
        <v>63</v>
      </c>
      <c r="G32" s="27">
        <v>1</v>
      </c>
      <c r="H32" s="26" t="s">
        <v>101</v>
      </c>
      <c r="I32" s="29">
        <v>1</v>
      </c>
      <c r="J32" s="26">
        <f>VLOOKUP(C:C,'4.几何拓扑逻辑检查'!D:J,7,FALSE)</f>
        <v>55050</v>
      </c>
      <c r="K32" s="26">
        <v>0</v>
      </c>
      <c r="L32" s="30">
        <f t="shared" si="0"/>
        <v>1</v>
      </c>
      <c r="M32" s="8" t="str">
        <f t="shared" si="1"/>
        <v>是</v>
      </c>
      <c r="N32" s="26"/>
    </row>
    <row r="33" spans="1:14">
      <c r="A33" s="26">
        <v>32</v>
      </c>
      <c r="B33" s="19">
        <v>10052</v>
      </c>
      <c r="C33" s="19" t="s">
        <v>126</v>
      </c>
      <c r="D33" s="19" t="s">
        <v>127</v>
      </c>
      <c r="E33" s="26" t="s">
        <v>100</v>
      </c>
      <c r="F33" s="19" t="s">
        <v>63</v>
      </c>
      <c r="G33" s="27">
        <v>1</v>
      </c>
      <c r="H33" s="26" t="s">
        <v>101</v>
      </c>
      <c r="I33" s="29">
        <v>1</v>
      </c>
      <c r="J33" s="26">
        <v>14435</v>
      </c>
      <c r="K33" s="26">
        <v>0</v>
      </c>
      <c r="L33" s="30">
        <f t="shared" si="0"/>
        <v>1</v>
      </c>
      <c r="M33" s="8" t="str">
        <f t="shared" si="1"/>
        <v>是</v>
      </c>
      <c r="N33" s="26"/>
    </row>
    <row r="34" spans="1:14">
      <c r="A34" s="26">
        <v>33</v>
      </c>
      <c r="B34" s="19">
        <v>10053</v>
      </c>
      <c r="C34" s="19" t="s">
        <v>126</v>
      </c>
      <c r="D34" s="19" t="s">
        <v>128</v>
      </c>
      <c r="E34" s="26" t="s">
        <v>100</v>
      </c>
      <c r="F34" s="19" t="s">
        <v>63</v>
      </c>
      <c r="G34" s="27">
        <v>1</v>
      </c>
      <c r="H34" s="26" t="s">
        <v>101</v>
      </c>
      <c r="I34" s="29">
        <v>1</v>
      </c>
      <c r="J34" s="26">
        <v>14435</v>
      </c>
      <c r="K34" s="26">
        <v>0</v>
      </c>
      <c r="L34" s="30">
        <f t="shared" si="0"/>
        <v>1</v>
      </c>
      <c r="M34" s="8" t="str">
        <f t="shared" si="1"/>
        <v>是</v>
      </c>
      <c r="N34" s="26"/>
    </row>
    <row r="35" spans="1:14">
      <c r="A35" s="26">
        <v>34</v>
      </c>
      <c r="B35" s="19">
        <v>10054</v>
      </c>
      <c r="C35" s="19" t="s">
        <v>126</v>
      </c>
      <c r="D35" s="19" t="s">
        <v>129</v>
      </c>
      <c r="E35" s="26" t="s">
        <v>100</v>
      </c>
      <c r="F35" s="19" t="s">
        <v>63</v>
      </c>
      <c r="G35" s="27">
        <v>1</v>
      </c>
      <c r="H35" s="26" t="s">
        <v>101</v>
      </c>
      <c r="I35" s="29">
        <v>1</v>
      </c>
      <c r="J35" s="26">
        <v>14435</v>
      </c>
      <c r="K35" s="26">
        <v>0</v>
      </c>
      <c r="L35" s="30">
        <f t="shared" si="0"/>
        <v>1</v>
      </c>
      <c r="M35" s="8" t="str">
        <f t="shared" si="1"/>
        <v>是</v>
      </c>
      <c r="N35" s="26"/>
    </row>
    <row r="36" spans="1:14">
      <c r="A36" s="26">
        <v>35</v>
      </c>
      <c r="B36" s="19">
        <v>10056</v>
      </c>
      <c r="C36" s="19" t="s">
        <v>126</v>
      </c>
      <c r="D36" s="19" t="s">
        <v>118</v>
      </c>
      <c r="E36" s="26" t="s">
        <v>100</v>
      </c>
      <c r="F36" s="19" t="s">
        <v>63</v>
      </c>
      <c r="G36" s="27">
        <v>1</v>
      </c>
      <c r="H36" s="26" t="s">
        <v>101</v>
      </c>
      <c r="I36" s="29">
        <v>1</v>
      </c>
      <c r="J36" s="26">
        <v>14435</v>
      </c>
      <c r="K36" s="26">
        <v>0</v>
      </c>
      <c r="L36" s="30">
        <f t="shared" si="0"/>
        <v>1</v>
      </c>
      <c r="M36" s="8" t="str">
        <f t="shared" si="1"/>
        <v>是</v>
      </c>
      <c r="N36" s="26"/>
    </row>
    <row r="37" spans="1:14">
      <c r="A37" s="26">
        <v>36</v>
      </c>
      <c r="B37" s="19">
        <v>10057</v>
      </c>
      <c r="C37" s="19" t="s">
        <v>130</v>
      </c>
      <c r="D37" s="19" t="s">
        <v>131</v>
      </c>
      <c r="E37" s="26" t="s">
        <v>100</v>
      </c>
      <c r="F37" s="19" t="s">
        <v>63</v>
      </c>
      <c r="G37" s="27">
        <v>1</v>
      </c>
      <c r="H37" s="26" t="s">
        <v>101</v>
      </c>
      <c r="I37" s="29">
        <v>1</v>
      </c>
      <c r="J37" s="26">
        <f>VLOOKUP(C:C,'4.几何拓扑逻辑检查'!D:J,7,FALSE)</f>
        <v>38442</v>
      </c>
      <c r="K37" s="26">
        <v>0</v>
      </c>
      <c r="L37" s="30">
        <f t="shared" si="0"/>
        <v>1</v>
      </c>
      <c r="M37" s="8" t="str">
        <f t="shared" si="1"/>
        <v>是</v>
      </c>
      <c r="N37" s="26"/>
    </row>
    <row r="38" spans="1:14">
      <c r="A38" s="26">
        <v>37</v>
      </c>
      <c r="B38" s="19">
        <v>10058</v>
      </c>
      <c r="C38" s="19" t="s">
        <v>130</v>
      </c>
      <c r="D38" s="19" t="s">
        <v>132</v>
      </c>
      <c r="E38" s="26" t="s">
        <v>100</v>
      </c>
      <c r="F38" s="19" t="s">
        <v>63</v>
      </c>
      <c r="G38" s="27">
        <v>1</v>
      </c>
      <c r="H38" s="26" t="s">
        <v>101</v>
      </c>
      <c r="I38" s="29">
        <v>1</v>
      </c>
      <c r="J38" s="26">
        <f>VLOOKUP(C:C,'4.几何拓扑逻辑检查'!D:J,7,FALSE)</f>
        <v>38442</v>
      </c>
      <c r="K38" s="26">
        <v>0</v>
      </c>
      <c r="L38" s="30">
        <f t="shared" si="0"/>
        <v>1</v>
      </c>
      <c r="M38" s="8" t="str">
        <f t="shared" si="1"/>
        <v>是</v>
      </c>
      <c r="N38" s="26"/>
    </row>
    <row r="39" spans="1:14">
      <c r="A39" s="26">
        <v>38</v>
      </c>
      <c r="B39" s="19">
        <v>10059</v>
      </c>
      <c r="C39" s="19" t="s">
        <v>130</v>
      </c>
      <c r="D39" s="19" t="s">
        <v>133</v>
      </c>
      <c r="E39" s="26" t="s">
        <v>100</v>
      </c>
      <c r="F39" s="19" t="s">
        <v>63</v>
      </c>
      <c r="G39" s="27">
        <v>1</v>
      </c>
      <c r="H39" s="26" t="s">
        <v>101</v>
      </c>
      <c r="I39" s="29">
        <v>1</v>
      </c>
      <c r="J39" s="26">
        <f>VLOOKUP(C:C,'4.几何拓扑逻辑检查'!D:J,7,FALSE)</f>
        <v>38442</v>
      </c>
      <c r="K39" s="26">
        <v>0</v>
      </c>
      <c r="L39" s="30">
        <f t="shared" si="0"/>
        <v>1</v>
      </c>
      <c r="M39" s="8" t="str">
        <f t="shared" si="1"/>
        <v>是</v>
      </c>
      <c r="N39" s="26"/>
    </row>
    <row r="40" spans="1:14">
      <c r="A40" s="26">
        <v>39</v>
      </c>
      <c r="B40" s="19">
        <v>10060</v>
      </c>
      <c r="C40" s="19" t="s">
        <v>130</v>
      </c>
      <c r="D40" s="19" t="s">
        <v>134</v>
      </c>
      <c r="E40" s="26" t="s">
        <v>100</v>
      </c>
      <c r="F40" s="19" t="s">
        <v>63</v>
      </c>
      <c r="G40" s="27">
        <v>1</v>
      </c>
      <c r="H40" s="26" t="s">
        <v>101</v>
      </c>
      <c r="I40" s="29">
        <v>1</v>
      </c>
      <c r="J40" s="26">
        <f>VLOOKUP(C:C,'4.几何拓扑逻辑检查'!D:J,7,FALSE)</f>
        <v>38442</v>
      </c>
      <c r="K40" s="26">
        <v>0</v>
      </c>
      <c r="L40" s="30">
        <f t="shared" si="0"/>
        <v>1</v>
      </c>
      <c r="M40" s="8" t="str">
        <f t="shared" si="1"/>
        <v>是</v>
      </c>
      <c r="N40" s="26"/>
    </row>
    <row r="41" spans="1:14">
      <c r="A41" s="26">
        <v>40</v>
      </c>
      <c r="B41" s="19">
        <v>10061</v>
      </c>
      <c r="C41" s="19" t="s">
        <v>130</v>
      </c>
      <c r="D41" s="19" t="s">
        <v>118</v>
      </c>
      <c r="E41" s="26" t="s">
        <v>100</v>
      </c>
      <c r="F41" s="19" t="s">
        <v>63</v>
      </c>
      <c r="G41" s="27">
        <v>1</v>
      </c>
      <c r="H41" s="26" t="s">
        <v>101</v>
      </c>
      <c r="I41" s="29">
        <v>1</v>
      </c>
      <c r="J41" s="26">
        <f>VLOOKUP(C:C,'4.几何拓扑逻辑检查'!D:J,7,FALSE)</f>
        <v>38442</v>
      </c>
      <c r="K41" s="26">
        <v>0</v>
      </c>
      <c r="L41" s="30">
        <f t="shared" si="0"/>
        <v>1</v>
      </c>
      <c r="M41" s="8" t="str">
        <f t="shared" si="1"/>
        <v>是</v>
      </c>
      <c r="N41" s="26"/>
    </row>
    <row r="42" spans="1:14">
      <c r="A42" s="26">
        <v>41</v>
      </c>
      <c r="B42" s="19">
        <v>10062</v>
      </c>
      <c r="C42" s="19" t="s">
        <v>135</v>
      </c>
      <c r="D42" s="19" t="s">
        <v>99</v>
      </c>
      <c r="E42" s="26" t="s">
        <v>100</v>
      </c>
      <c r="F42" s="19" t="s">
        <v>63</v>
      </c>
      <c r="G42" s="27">
        <v>1</v>
      </c>
      <c r="H42" s="26" t="s">
        <v>101</v>
      </c>
      <c r="I42" s="29">
        <v>1</v>
      </c>
      <c r="J42" s="26">
        <f>VLOOKUP(C:C,'4.几何拓扑逻辑检查'!D:J,7,FALSE)</f>
        <v>1872</v>
      </c>
      <c r="K42" s="26">
        <v>0</v>
      </c>
      <c r="L42" s="30">
        <f t="shared" si="0"/>
        <v>1</v>
      </c>
      <c r="M42" s="8" t="str">
        <f t="shared" si="1"/>
        <v>是</v>
      </c>
      <c r="N42" s="26"/>
    </row>
    <row r="43" spans="1:14">
      <c r="A43" s="26">
        <v>42</v>
      </c>
      <c r="B43" s="19">
        <v>10063</v>
      </c>
      <c r="C43" s="19" t="s">
        <v>135</v>
      </c>
      <c r="D43" s="19" t="s">
        <v>136</v>
      </c>
      <c r="E43" s="26" t="s">
        <v>100</v>
      </c>
      <c r="F43" s="19" t="s">
        <v>63</v>
      </c>
      <c r="G43" s="27">
        <v>1</v>
      </c>
      <c r="H43" s="26" t="s">
        <v>101</v>
      </c>
      <c r="I43" s="29">
        <v>1</v>
      </c>
      <c r="J43" s="26">
        <f>VLOOKUP(C:C,'4.几何拓扑逻辑检查'!D:J,7,FALSE)</f>
        <v>1872</v>
      </c>
      <c r="K43" s="26">
        <v>0</v>
      </c>
      <c r="L43" s="30">
        <f t="shared" si="0"/>
        <v>1</v>
      </c>
      <c r="M43" s="8" t="str">
        <f t="shared" si="1"/>
        <v>是</v>
      </c>
      <c r="N43" s="26"/>
    </row>
    <row r="44" spans="1:14">
      <c r="A44" s="26">
        <v>43</v>
      </c>
      <c r="B44" s="19">
        <v>10064</v>
      </c>
      <c r="C44" s="19" t="s">
        <v>135</v>
      </c>
      <c r="D44" s="19" t="s">
        <v>120</v>
      </c>
      <c r="E44" s="26" t="s">
        <v>100</v>
      </c>
      <c r="F44" s="19" t="s">
        <v>63</v>
      </c>
      <c r="G44" s="27">
        <v>1</v>
      </c>
      <c r="H44" s="26" t="s">
        <v>101</v>
      </c>
      <c r="I44" s="29">
        <v>1</v>
      </c>
      <c r="J44" s="26">
        <f>VLOOKUP(C:C,'4.几何拓扑逻辑检查'!D:J,7,FALSE)</f>
        <v>1872</v>
      </c>
      <c r="K44" s="26">
        <v>0</v>
      </c>
      <c r="L44" s="30">
        <f t="shared" si="0"/>
        <v>1</v>
      </c>
      <c r="M44" s="8" t="str">
        <f t="shared" si="1"/>
        <v>是</v>
      </c>
      <c r="N44" s="26"/>
    </row>
    <row r="45" spans="1:14">
      <c r="A45" s="26">
        <v>44</v>
      </c>
      <c r="B45" s="19">
        <v>10065</v>
      </c>
      <c r="C45" s="19" t="s">
        <v>135</v>
      </c>
      <c r="D45" s="19" t="s">
        <v>118</v>
      </c>
      <c r="E45" s="26" t="s">
        <v>100</v>
      </c>
      <c r="F45" s="19" t="s">
        <v>63</v>
      </c>
      <c r="G45" s="27">
        <v>1</v>
      </c>
      <c r="H45" s="26" t="s">
        <v>101</v>
      </c>
      <c r="I45" s="29">
        <v>1</v>
      </c>
      <c r="J45" s="26">
        <f>VLOOKUP(C:C,'4.几何拓扑逻辑检查'!D:J,7,FALSE)</f>
        <v>1872</v>
      </c>
      <c r="K45" s="26">
        <v>0</v>
      </c>
      <c r="L45" s="30">
        <f t="shared" si="0"/>
        <v>1</v>
      </c>
      <c r="M45" s="8" t="str">
        <f t="shared" si="1"/>
        <v>是</v>
      </c>
      <c r="N45" s="26"/>
    </row>
    <row r="46" spans="1:14">
      <c r="A46" s="26">
        <v>45</v>
      </c>
      <c r="B46" s="19">
        <v>10073</v>
      </c>
      <c r="C46" s="19" t="s">
        <v>137</v>
      </c>
      <c r="D46" s="19" t="s">
        <v>127</v>
      </c>
      <c r="E46" s="26" t="s">
        <v>100</v>
      </c>
      <c r="F46" s="19" t="s">
        <v>63</v>
      </c>
      <c r="G46" s="27">
        <v>1</v>
      </c>
      <c r="H46" s="26" t="s">
        <v>101</v>
      </c>
      <c r="I46" s="29">
        <v>1</v>
      </c>
      <c r="J46" s="26">
        <f>VLOOKUP(C:C,'4.几何拓扑逻辑检查'!D:J,7,FALSE)</f>
        <v>39676</v>
      </c>
      <c r="K46" s="26">
        <v>0</v>
      </c>
      <c r="L46" s="30">
        <f t="shared" si="0"/>
        <v>1</v>
      </c>
      <c r="M46" s="8" t="str">
        <f t="shared" si="1"/>
        <v>是</v>
      </c>
      <c r="N46" s="26"/>
    </row>
    <row r="47" spans="1:14">
      <c r="A47" s="26">
        <v>46</v>
      </c>
      <c r="B47" s="19">
        <v>10074</v>
      </c>
      <c r="C47" s="19" t="s">
        <v>137</v>
      </c>
      <c r="D47" s="19" t="s">
        <v>138</v>
      </c>
      <c r="E47" s="26" t="s">
        <v>100</v>
      </c>
      <c r="F47" s="19" t="s">
        <v>63</v>
      </c>
      <c r="G47" s="27">
        <v>1</v>
      </c>
      <c r="H47" s="26" t="s">
        <v>101</v>
      </c>
      <c r="I47" s="29">
        <v>1</v>
      </c>
      <c r="J47" s="26">
        <f>VLOOKUP(C:C,'4.几何拓扑逻辑检查'!D:J,7,FALSE)</f>
        <v>39676</v>
      </c>
      <c r="K47" s="26">
        <v>0</v>
      </c>
      <c r="L47" s="30">
        <f t="shared" si="0"/>
        <v>1</v>
      </c>
      <c r="M47" s="8" t="str">
        <f t="shared" si="1"/>
        <v>是</v>
      </c>
      <c r="N47" s="26"/>
    </row>
    <row r="48" spans="1:14">
      <c r="A48" s="26">
        <v>47</v>
      </c>
      <c r="B48" s="19">
        <v>10075</v>
      </c>
      <c r="C48" s="19" t="s">
        <v>137</v>
      </c>
      <c r="D48" s="19" t="s">
        <v>139</v>
      </c>
      <c r="E48" s="26" t="s">
        <v>100</v>
      </c>
      <c r="F48" s="19" t="s">
        <v>63</v>
      </c>
      <c r="G48" s="27">
        <v>1</v>
      </c>
      <c r="H48" s="26" t="s">
        <v>101</v>
      </c>
      <c r="I48" s="29">
        <v>1</v>
      </c>
      <c r="J48" s="26">
        <f>VLOOKUP(C:C,'4.几何拓扑逻辑检查'!D:J,7,FALSE)</f>
        <v>39676</v>
      </c>
      <c r="K48" s="26">
        <v>0</v>
      </c>
      <c r="L48" s="30">
        <f t="shared" si="0"/>
        <v>1</v>
      </c>
      <c r="M48" s="8" t="str">
        <f t="shared" si="1"/>
        <v>是</v>
      </c>
      <c r="N48" s="26"/>
    </row>
    <row r="49" spans="1:14">
      <c r="A49" s="26">
        <v>48</v>
      </c>
      <c r="B49" s="19">
        <v>10076</v>
      </c>
      <c r="C49" s="19" t="s">
        <v>137</v>
      </c>
      <c r="D49" s="19" t="s">
        <v>140</v>
      </c>
      <c r="E49" s="26" t="s">
        <v>100</v>
      </c>
      <c r="F49" s="19" t="s">
        <v>63</v>
      </c>
      <c r="G49" s="27">
        <v>1</v>
      </c>
      <c r="H49" s="26" t="s">
        <v>101</v>
      </c>
      <c r="I49" s="29">
        <v>1</v>
      </c>
      <c r="J49" s="26">
        <f>VLOOKUP(C:C,'4.几何拓扑逻辑检查'!D:J,7,FALSE)</f>
        <v>39676</v>
      </c>
      <c r="K49" s="26">
        <v>0</v>
      </c>
      <c r="L49" s="30">
        <f t="shared" si="0"/>
        <v>1</v>
      </c>
      <c r="M49" s="8" t="str">
        <f t="shared" si="1"/>
        <v>是</v>
      </c>
      <c r="N49" s="26"/>
    </row>
    <row r="50" spans="1:14">
      <c r="A50" s="26">
        <v>49</v>
      </c>
      <c r="B50" s="19">
        <v>10077</v>
      </c>
      <c r="C50" s="19" t="s">
        <v>137</v>
      </c>
      <c r="D50" s="19" t="s">
        <v>141</v>
      </c>
      <c r="E50" s="26" t="s">
        <v>100</v>
      </c>
      <c r="F50" s="19" t="s">
        <v>63</v>
      </c>
      <c r="G50" s="27">
        <v>1</v>
      </c>
      <c r="H50" s="26" t="s">
        <v>101</v>
      </c>
      <c r="I50" s="29">
        <v>1</v>
      </c>
      <c r="J50" s="26">
        <f>VLOOKUP(C:C,'4.几何拓扑逻辑检查'!D:J,7,FALSE)</f>
        <v>39676</v>
      </c>
      <c r="K50" s="26">
        <v>0</v>
      </c>
      <c r="L50" s="30">
        <f t="shared" si="0"/>
        <v>1</v>
      </c>
      <c r="M50" s="8" t="str">
        <f t="shared" si="1"/>
        <v>是</v>
      </c>
      <c r="N50" s="26"/>
    </row>
    <row r="51" spans="1:14">
      <c r="A51" s="26">
        <v>50</v>
      </c>
      <c r="B51" s="19">
        <v>10078</v>
      </c>
      <c r="C51" s="19" t="s">
        <v>137</v>
      </c>
      <c r="D51" s="19" t="s">
        <v>142</v>
      </c>
      <c r="E51" s="26" t="s">
        <v>100</v>
      </c>
      <c r="F51" s="19" t="s">
        <v>63</v>
      </c>
      <c r="G51" s="27">
        <v>1</v>
      </c>
      <c r="H51" s="26" t="s">
        <v>101</v>
      </c>
      <c r="I51" s="29">
        <v>1</v>
      </c>
      <c r="J51" s="26">
        <f>VLOOKUP(C:C,'4.几何拓扑逻辑检查'!D:J,7,FALSE)</f>
        <v>39676</v>
      </c>
      <c r="K51" s="26">
        <v>0</v>
      </c>
      <c r="L51" s="30">
        <f t="shared" si="0"/>
        <v>1</v>
      </c>
      <c r="M51" s="8" t="str">
        <f t="shared" si="1"/>
        <v>是</v>
      </c>
      <c r="N51" s="26"/>
    </row>
    <row r="52" spans="1:14">
      <c r="A52" s="26">
        <v>51</v>
      </c>
      <c r="B52" s="19">
        <v>10079</v>
      </c>
      <c r="C52" s="19" t="s">
        <v>137</v>
      </c>
      <c r="D52" s="19" t="s">
        <v>143</v>
      </c>
      <c r="E52" s="26" t="s">
        <v>100</v>
      </c>
      <c r="F52" s="19" t="s">
        <v>63</v>
      </c>
      <c r="G52" s="27">
        <v>1</v>
      </c>
      <c r="H52" s="26" t="s">
        <v>101</v>
      </c>
      <c r="I52" s="29">
        <v>1</v>
      </c>
      <c r="J52" s="26">
        <f>VLOOKUP(C:C,'4.几何拓扑逻辑检查'!D:J,7,FALSE)</f>
        <v>39676</v>
      </c>
      <c r="K52" s="26">
        <v>0</v>
      </c>
      <c r="L52" s="30">
        <f t="shared" si="0"/>
        <v>1</v>
      </c>
      <c r="M52" s="8" t="str">
        <f t="shared" si="1"/>
        <v>是</v>
      </c>
      <c r="N52" s="26"/>
    </row>
    <row r="53" spans="1:14">
      <c r="A53" s="26">
        <v>52</v>
      </c>
      <c r="B53" s="19">
        <v>10081</v>
      </c>
      <c r="C53" s="19" t="s">
        <v>137</v>
      </c>
      <c r="D53" s="19" t="s">
        <v>118</v>
      </c>
      <c r="E53" s="26" t="s">
        <v>100</v>
      </c>
      <c r="F53" s="19" t="s">
        <v>63</v>
      </c>
      <c r="G53" s="27">
        <v>1</v>
      </c>
      <c r="H53" s="26" t="s">
        <v>101</v>
      </c>
      <c r="I53" s="29">
        <v>1</v>
      </c>
      <c r="J53" s="26">
        <f>VLOOKUP(C:C,'4.几何拓扑逻辑检查'!D:J,7,FALSE)</f>
        <v>39676</v>
      </c>
      <c r="K53" s="26">
        <v>0</v>
      </c>
      <c r="L53" s="30">
        <f t="shared" si="0"/>
        <v>1</v>
      </c>
      <c r="M53" s="8" t="str">
        <f t="shared" si="1"/>
        <v>是</v>
      </c>
      <c r="N53" s="26"/>
    </row>
    <row r="54" spans="1:14">
      <c r="A54" s="26">
        <v>53</v>
      </c>
      <c r="B54" s="19">
        <v>10096</v>
      </c>
      <c r="C54" s="19" t="s">
        <v>144</v>
      </c>
      <c r="D54" s="19" t="s">
        <v>99</v>
      </c>
      <c r="E54" s="26" t="s">
        <v>100</v>
      </c>
      <c r="F54" s="19" t="s">
        <v>63</v>
      </c>
      <c r="G54" s="27">
        <v>1</v>
      </c>
      <c r="H54" s="26" t="s">
        <v>101</v>
      </c>
      <c r="I54" s="29">
        <v>1</v>
      </c>
      <c r="J54" s="26">
        <v>38</v>
      </c>
      <c r="K54" s="26">
        <v>0</v>
      </c>
      <c r="L54" s="30">
        <f t="shared" si="0"/>
        <v>1</v>
      </c>
      <c r="M54" s="8" t="str">
        <f t="shared" si="1"/>
        <v>是</v>
      </c>
      <c r="N54" s="26"/>
    </row>
    <row r="55" spans="1:14">
      <c r="A55" s="26">
        <v>54</v>
      </c>
      <c r="B55" s="19">
        <v>10097</v>
      </c>
      <c r="C55" s="19" t="s">
        <v>144</v>
      </c>
      <c r="D55" s="19" t="s">
        <v>120</v>
      </c>
      <c r="E55" s="26" t="s">
        <v>100</v>
      </c>
      <c r="F55" s="19" t="s">
        <v>63</v>
      </c>
      <c r="G55" s="27">
        <v>1</v>
      </c>
      <c r="H55" s="26" t="s">
        <v>101</v>
      </c>
      <c r="I55" s="29">
        <v>1</v>
      </c>
      <c r="J55" s="26">
        <v>38</v>
      </c>
      <c r="K55" s="26">
        <v>0</v>
      </c>
      <c r="L55" s="30">
        <f t="shared" si="0"/>
        <v>1</v>
      </c>
      <c r="M55" s="8" t="str">
        <f t="shared" si="1"/>
        <v>是</v>
      </c>
      <c r="N55" s="26"/>
    </row>
    <row r="56" spans="1:14">
      <c r="A56" s="26">
        <v>55</v>
      </c>
      <c r="B56" s="19">
        <v>10098</v>
      </c>
      <c r="C56" s="19" t="s">
        <v>144</v>
      </c>
      <c r="D56" s="19" t="s">
        <v>118</v>
      </c>
      <c r="E56" s="26" t="s">
        <v>100</v>
      </c>
      <c r="F56" s="19" t="s">
        <v>63</v>
      </c>
      <c r="G56" s="27">
        <v>1</v>
      </c>
      <c r="H56" s="26" t="s">
        <v>101</v>
      </c>
      <c r="I56" s="29">
        <v>1</v>
      </c>
      <c r="J56" s="26">
        <v>38</v>
      </c>
      <c r="K56" s="26">
        <v>0</v>
      </c>
      <c r="L56" s="30">
        <f t="shared" si="0"/>
        <v>1</v>
      </c>
      <c r="M56" s="8" t="str">
        <f t="shared" si="1"/>
        <v>是</v>
      </c>
      <c r="N56" s="26"/>
    </row>
    <row r="57" spans="1:14">
      <c r="A57" s="26">
        <v>56</v>
      </c>
      <c r="B57" s="19">
        <v>10099</v>
      </c>
      <c r="C57" s="19" t="s">
        <v>145</v>
      </c>
      <c r="D57" s="19" t="s">
        <v>99</v>
      </c>
      <c r="E57" s="26" t="s">
        <v>100</v>
      </c>
      <c r="F57" s="19" t="s">
        <v>63</v>
      </c>
      <c r="G57" s="27">
        <v>1</v>
      </c>
      <c r="H57" s="26" t="s">
        <v>101</v>
      </c>
      <c r="I57" s="29">
        <v>1</v>
      </c>
      <c r="J57" s="26">
        <f>VLOOKUP(C:C,'4.几何拓扑逻辑检查'!D:J,7,FALSE)</f>
        <v>17737</v>
      </c>
      <c r="K57" s="26">
        <v>0</v>
      </c>
      <c r="L57" s="30">
        <f t="shared" si="0"/>
        <v>1</v>
      </c>
      <c r="M57" s="8" t="str">
        <f t="shared" si="1"/>
        <v>是</v>
      </c>
      <c r="N57" s="26"/>
    </row>
    <row r="58" spans="1:14">
      <c r="A58" s="26">
        <v>57</v>
      </c>
      <c r="B58" s="19">
        <v>10100</v>
      </c>
      <c r="C58" s="19" t="s">
        <v>145</v>
      </c>
      <c r="D58" s="19" t="s">
        <v>120</v>
      </c>
      <c r="E58" s="26" t="s">
        <v>100</v>
      </c>
      <c r="F58" s="19" t="s">
        <v>63</v>
      </c>
      <c r="G58" s="27">
        <v>1</v>
      </c>
      <c r="H58" s="26" t="s">
        <v>101</v>
      </c>
      <c r="I58" s="29">
        <v>1</v>
      </c>
      <c r="J58" s="26">
        <f>VLOOKUP(C:C,'4.几何拓扑逻辑检查'!D:J,7,FALSE)</f>
        <v>17737</v>
      </c>
      <c r="K58" s="26">
        <v>0</v>
      </c>
      <c r="L58" s="30">
        <f t="shared" si="0"/>
        <v>1</v>
      </c>
      <c r="M58" s="8" t="str">
        <f t="shared" si="1"/>
        <v>是</v>
      </c>
      <c r="N58" s="26"/>
    </row>
    <row r="59" spans="1:14">
      <c r="A59" s="26">
        <v>58</v>
      </c>
      <c r="B59" s="19">
        <v>10101</v>
      </c>
      <c r="C59" s="19" t="s">
        <v>145</v>
      </c>
      <c r="D59" s="19" t="s">
        <v>118</v>
      </c>
      <c r="E59" s="26" t="s">
        <v>100</v>
      </c>
      <c r="F59" s="19" t="s">
        <v>63</v>
      </c>
      <c r="G59" s="27">
        <v>1</v>
      </c>
      <c r="H59" s="26" t="s">
        <v>101</v>
      </c>
      <c r="I59" s="29">
        <v>1</v>
      </c>
      <c r="J59" s="26">
        <f>VLOOKUP(C:C,'4.几何拓扑逻辑检查'!D:J,7,FALSE)</f>
        <v>17737</v>
      </c>
      <c r="K59" s="26">
        <v>0</v>
      </c>
      <c r="L59" s="30">
        <f t="shared" si="0"/>
        <v>1</v>
      </c>
      <c r="M59" s="8" t="str">
        <f t="shared" si="1"/>
        <v>是</v>
      </c>
      <c r="N59" s="26"/>
    </row>
    <row r="60" spans="1:14">
      <c r="A60" s="26">
        <v>59</v>
      </c>
      <c r="B60" s="19">
        <v>10102</v>
      </c>
      <c r="C60" s="19" t="s">
        <v>146</v>
      </c>
      <c r="D60" s="19" t="s">
        <v>99</v>
      </c>
      <c r="E60" s="26" t="s">
        <v>100</v>
      </c>
      <c r="F60" s="19" t="s">
        <v>63</v>
      </c>
      <c r="G60" s="27">
        <v>1</v>
      </c>
      <c r="H60" s="26" t="s">
        <v>101</v>
      </c>
      <c r="I60" s="29">
        <v>1</v>
      </c>
      <c r="J60" s="26">
        <f>VLOOKUP(C:C,'4.几何拓扑逻辑检查'!D:J,7,FALSE)</f>
        <v>36039</v>
      </c>
      <c r="K60" s="26">
        <v>0</v>
      </c>
      <c r="L60" s="30">
        <f t="shared" si="0"/>
        <v>1</v>
      </c>
      <c r="M60" s="8" t="str">
        <f t="shared" si="1"/>
        <v>是</v>
      </c>
      <c r="N60" s="26"/>
    </row>
    <row r="61" spans="1:14">
      <c r="A61" s="26">
        <v>60</v>
      </c>
      <c r="B61" s="19">
        <v>10103</v>
      </c>
      <c r="C61" s="19" t="s">
        <v>146</v>
      </c>
      <c r="D61" s="19" t="s">
        <v>120</v>
      </c>
      <c r="E61" s="26" t="s">
        <v>100</v>
      </c>
      <c r="F61" s="19" t="s">
        <v>63</v>
      </c>
      <c r="G61" s="27">
        <v>1</v>
      </c>
      <c r="H61" s="26" t="s">
        <v>101</v>
      </c>
      <c r="I61" s="29">
        <v>1</v>
      </c>
      <c r="J61" s="26">
        <f>VLOOKUP(C:C,'4.几何拓扑逻辑检查'!D:J,7,FALSE)</f>
        <v>36039</v>
      </c>
      <c r="K61" s="26">
        <v>0</v>
      </c>
      <c r="L61" s="30">
        <f t="shared" si="0"/>
        <v>1</v>
      </c>
      <c r="M61" s="8" t="str">
        <f t="shared" si="1"/>
        <v>是</v>
      </c>
      <c r="N61" s="26"/>
    </row>
    <row r="62" spans="1:14">
      <c r="A62" s="26">
        <v>61</v>
      </c>
      <c r="B62" s="19">
        <v>10104</v>
      </c>
      <c r="C62" s="19" t="s">
        <v>146</v>
      </c>
      <c r="D62" s="19" t="s">
        <v>127</v>
      </c>
      <c r="E62" s="26" t="s">
        <v>100</v>
      </c>
      <c r="F62" s="19" t="s">
        <v>63</v>
      </c>
      <c r="G62" s="27">
        <v>1</v>
      </c>
      <c r="H62" s="26" t="s">
        <v>101</v>
      </c>
      <c r="I62" s="29">
        <v>1</v>
      </c>
      <c r="J62" s="26">
        <f>VLOOKUP(C:C,'4.几何拓扑逻辑检查'!D:J,7,FALSE)</f>
        <v>36039</v>
      </c>
      <c r="K62" s="26">
        <v>0</v>
      </c>
      <c r="L62" s="30">
        <f t="shared" si="0"/>
        <v>1</v>
      </c>
      <c r="M62" s="8" t="str">
        <f t="shared" si="1"/>
        <v>是</v>
      </c>
      <c r="N62" s="26"/>
    </row>
    <row r="63" spans="1:14">
      <c r="A63" s="26">
        <v>62</v>
      </c>
      <c r="B63" s="19">
        <v>10105</v>
      </c>
      <c r="C63" s="19" t="s">
        <v>146</v>
      </c>
      <c r="D63" s="19" t="s">
        <v>118</v>
      </c>
      <c r="E63" s="26" t="s">
        <v>100</v>
      </c>
      <c r="F63" s="19" t="s">
        <v>63</v>
      </c>
      <c r="G63" s="27">
        <v>1</v>
      </c>
      <c r="H63" s="26" t="s">
        <v>101</v>
      </c>
      <c r="I63" s="29">
        <v>1</v>
      </c>
      <c r="J63" s="26">
        <f>VLOOKUP(C:C,'4.几何拓扑逻辑检查'!D:J,7,FALSE)</f>
        <v>36039</v>
      </c>
      <c r="K63" s="26">
        <v>0</v>
      </c>
      <c r="L63" s="30">
        <f t="shared" si="0"/>
        <v>1</v>
      </c>
      <c r="M63" s="8" t="str">
        <f t="shared" si="1"/>
        <v>是</v>
      </c>
      <c r="N63" s="26"/>
    </row>
    <row r="64" spans="1:14">
      <c r="A64" s="26">
        <v>63</v>
      </c>
      <c r="B64" s="19">
        <v>10106</v>
      </c>
      <c r="C64" s="19" t="s">
        <v>147</v>
      </c>
      <c r="D64" s="19" t="s">
        <v>99</v>
      </c>
      <c r="E64" s="26" t="s">
        <v>100</v>
      </c>
      <c r="F64" s="19" t="s">
        <v>63</v>
      </c>
      <c r="G64" s="27">
        <v>1</v>
      </c>
      <c r="H64" s="26" t="s">
        <v>101</v>
      </c>
      <c r="I64" s="29">
        <v>1</v>
      </c>
      <c r="J64" s="26">
        <f>VLOOKUP(C:C,'4.几何拓扑逻辑检查'!D:J,7,FALSE)</f>
        <v>15250</v>
      </c>
      <c r="K64" s="26">
        <v>0</v>
      </c>
      <c r="L64" s="30">
        <f t="shared" si="0"/>
        <v>1</v>
      </c>
      <c r="M64" s="8" t="str">
        <f t="shared" si="1"/>
        <v>是</v>
      </c>
      <c r="N64" s="26"/>
    </row>
    <row r="65" spans="1:14">
      <c r="A65" s="26">
        <v>64</v>
      </c>
      <c r="B65" s="19">
        <v>10107</v>
      </c>
      <c r="C65" s="19" t="s">
        <v>147</v>
      </c>
      <c r="D65" s="19" t="s">
        <v>120</v>
      </c>
      <c r="E65" s="26" t="s">
        <v>100</v>
      </c>
      <c r="F65" s="19" t="s">
        <v>63</v>
      </c>
      <c r="G65" s="27">
        <v>1</v>
      </c>
      <c r="H65" s="26" t="s">
        <v>101</v>
      </c>
      <c r="I65" s="29">
        <v>1</v>
      </c>
      <c r="J65" s="26">
        <f>VLOOKUP(C:C,'4.几何拓扑逻辑检查'!D:J,7,FALSE)</f>
        <v>15250</v>
      </c>
      <c r="K65" s="26">
        <v>0</v>
      </c>
      <c r="L65" s="30">
        <f t="shared" si="0"/>
        <v>1</v>
      </c>
      <c r="M65" s="8" t="str">
        <f t="shared" si="1"/>
        <v>是</v>
      </c>
      <c r="N65" s="26"/>
    </row>
    <row r="66" spans="1:14">
      <c r="A66" s="26">
        <v>65</v>
      </c>
      <c r="B66" s="19">
        <v>10108</v>
      </c>
      <c r="C66" s="19" t="s">
        <v>147</v>
      </c>
      <c r="D66" s="19" t="s">
        <v>118</v>
      </c>
      <c r="E66" s="26" t="s">
        <v>100</v>
      </c>
      <c r="F66" s="19" t="s">
        <v>63</v>
      </c>
      <c r="G66" s="27">
        <v>1</v>
      </c>
      <c r="H66" s="26" t="s">
        <v>101</v>
      </c>
      <c r="I66" s="29">
        <v>1</v>
      </c>
      <c r="J66" s="26">
        <f>VLOOKUP(C:C,'4.几何拓扑逻辑检查'!D:J,7,FALSE)</f>
        <v>15250</v>
      </c>
      <c r="K66" s="26">
        <v>0</v>
      </c>
      <c r="L66" s="30">
        <f t="shared" si="0"/>
        <v>1</v>
      </c>
      <c r="M66" s="8" t="str">
        <f t="shared" si="1"/>
        <v>是</v>
      </c>
      <c r="N66" s="26"/>
    </row>
    <row r="67" spans="1:14">
      <c r="A67" s="26">
        <v>66</v>
      </c>
      <c r="B67" s="19">
        <v>10109</v>
      </c>
      <c r="C67" s="19" t="s">
        <v>148</v>
      </c>
      <c r="D67" s="19" t="s">
        <v>99</v>
      </c>
      <c r="E67" s="26" t="s">
        <v>100</v>
      </c>
      <c r="F67" s="19" t="s">
        <v>63</v>
      </c>
      <c r="G67" s="27">
        <v>1</v>
      </c>
      <c r="H67" s="26" t="s">
        <v>101</v>
      </c>
      <c r="I67" s="29">
        <v>1</v>
      </c>
      <c r="J67" s="26">
        <v>1479</v>
      </c>
      <c r="K67" s="26">
        <v>0</v>
      </c>
      <c r="L67" s="30">
        <f t="shared" ref="L67:L130" si="2">1-K67/J67</f>
        <v>1</v>
      </c>
      <c r="M67" s="8" t="str">
        <f t="shared" ref="M67:M130" si="3">IF(L67&gt;=I67,"是","否")</f>
        <v>是</v>
      </c>
      <c r="N67" s="26"/>
    </row>
    <row r="68" spans="1:14">
      <c r="A68" s="26">
        <v>67</v>
      </c>
      <c r="B68" s="19">
        <v>10110</v>
      </c>
      <c r="C68" s="19" t="s">
        <v>148</v>
      </c>
      <c r="D68" s="19" t="s">
        <v>120</v>
      </c>
      <c r="E68" s="26" t="s">
        <v>100</v>
      </c>
      <c r="F68" s="19" t="s">
        <v>63</v>
      </c>
      <c r="G68" s="27">
        <v>1</v>
      </c>
      <c r="H68" s="26" t="s">
        <v>101</v>
      </c>
      <c r="I68" s="29">
        <v>1</v>
      </c>
      <c r="J68" s="26">
        <v>1479</v>
      </c>
      <c r="K68" s="26">
        <v>0</v>
      </c>
      <c r="L68" s="30">
        <f t="shared" si="2"/>
        <v>1</v>
      </c>
      <c r="M68" s="8" t="str">
        <f t="shared" si="3"/>
        <v>是</v>
      </c>
      <c r="N68" s="26"/>
    </row>
    <row r="69" spans="1:14">
      <c r="A69" s="26">
        <v>68</v>
      </c>
      <c r="B69" s="19">
        <v>10111</v>
      </c>
      <c r="C69" s="19" t="s">
        <v>148</v>
      </c>
      <c r="D69" s="19" t="s">
        <v>118</v>
      </c>
      <c r="E69" s="26" t="s">
        <v>100</v>
      </c>
      <c r="F69" s="19" t="s">
        <v>63</v>
      </c>
      <c r="G69" s="27">
        <v>1</v>
      </c>
      <c r="H69" s="26" t="s">
        <v>101</v>
      </c>
      <c r="I69" s="29">
        <v>1</v>
      </c>
      <c r="J69" s="26">
        <v>1479</v>
      </c>
      <c r="K69" s="26">
        <v>0</v>
      </c>
      <c r="L69" s="30">
        <f t="shared" si="2"/>
        <v>1</v>
      </c>
      <c r="M69" s="8" t="str">
        <f t="shared" si="3"/>
        <v>是</v>
      </c>
      <c r="N69" s="26"/>
    </row>
    <row r="70" spans="1:14">
      <c r="A70" s="26">
        <v>69</v>
      </c>
      <c r="B70" s="19">
        <v>10120</v>
      </c>
      <c r="C70" s="19" t="s">
        <v>149</v>
      </c>
      <c r="D70" s="19" t="s">
        <v>99</v>
      </c>
      <c r="E70" s="26" t="s">
        <v>100</v>
      </c>
      <c r="F70" s="19" t="s">
        <v>63</v>
      </c>
      <c r="G70" s="27">
        <v>1</v>
      </c>
      <c r="H70" s="26" t="s">
        <v>101</v>
      </c>
      <c r="I70" s="29">
        <v>1</v>
      </c>
      <c r="J70" s="26">
        <v>608</v>
      </c>
      <c r="K70" s="26">
        <v>0</v>
      </c>
      <c r="L70" s="30">
        <f t="shared" si="2"/>
        <v>1</v>
      </c>
      <c r="M70" s="8" t="str">
        <f t="shared" si="3"/>
        <v>是</v>
      </c>
      <c r="N70" s="26"/>
    </row>
    <row r="71" spans="1:14">
      <c r="A71" s="26">
        <v>70</v>
      </c>
      <c r="B71" s="19">
        <v>10121</v>
      </c>
      <c r="C71" s="19" t="s">
        <v>149</v>
      </c>
      <c r="D71" s="19" t="s">
        <v>120</v>
      </c>
      <c r="E71" s="26" t="s">
        <v>100</v>
      </c>
      <c r="F71" s="19" t="s">
        <v>63</v>
      </c>
      <c r="G71" s="27">
        <v>1</v>
      </c>
      <c r="H71" s="26" t="s">
        <v>101</v>
      </c>
      <c r="I71" s="29">
        <v>1</v>
      </c>
      <c r="J71" s="26">
        <v>608</v>
      </c>
      <c r="K71" s="26">
        <v>0</v>
      </c>
      <c r="L71" s="30">
        <f t="shared" si="2"/>
        <v>1</v>
      </c>
      <c r="M71" s="8" t="str">
        <f t="shared" si="3"/>
        <v>是</v>
      </c>
      <c r="N71" s="26"/>
    </row>
    <row r="72" spans="1:14">
      <c r="A72" s="26">
        <v>71</v>
      </c>
      <c r="B72" s="19">
        <v>10124</v>
      </c>
      <c r="C72" s="19" t="s">
        <v>149</v>
      </c>
      <c r="D72" s="19" t="s">
        <v>150</v>
      </c>
      <c r="E72" s="26" t="s">
        <v>100</v>
      </c>
      <c r="F72" s="19" t="s">
        <v>63</v>
      </c>
      <c r="G72" s="27">
        <v>1</v>
      </c>
      <c r="H72" s="26" t="s">
        <v>101</v>
      </c>
      <c r="I72" s="29">
        <v>1</v>
      </c>
      <c r="J72" s="26">
        <v>608</v>
      </c>
      <c r="K72" s="26">
        <v>0</v>
      </c>
      <c r="L72" s="30">
        <f t="shared" si="2"/>
        <v>1</v>
      </c>
      <c r="M72" s="8" t="str">
        <f t="shared" si="3"/>
        <v>是</v>
      </c>
      <c r="N72" s="26"/>
    </row>
    <row r="73" spans="1:14">
      <c r="A73" s="26">
        <v>72</v>
      </c>
      <c r="B73" s="19">
        <v>10125</v>
      </c>
      <c r="C73" s="19" t="s">
        <v>149</v>
      </c>
      <c r="D73" s="19" t="s">
        <v>118</v>
      </c>
      <c r="E73" s="26" t="s">
        <v>100</v>
      </c>
      <c r="F73" s="19" t="s">
        <v>63</v>
      </c>
      <c r="G73" s="27">
        <v>1</v>
      </c>
      <c r="H73" s="26" t="s">
        <v>101</v>
      </c>
      <c r="I73" s="29">
        <v>1</v>
      </c>
      <c r="J73" s="26">
        <v>608</v>
      </c>
      <c r="K73" s="26">
        <v>0</v>
      </c>
      <c r="L73" s="30">
        <f t="shared" si="2"/>
        <v>1</v>
      </c>
      <c r="M73" s="8" t="str">
        <f t="shared" si="3"/>
        <v>是</v>
      </c>
      <c r="N73" s="26"/>
    </row>
    <row r="74" spans="1:14">
      <c r="A74" s="26">
        <v>73</v>
      </c>
      <c r="B74" s="19">
        <v>10129</v>
      </c>
      <c r="C74" s="19" t="s">
        <v>151</v>
      </c>
      <c r="D74" s="19" t="s">
        <v>99</v>
      </c>
      <c r="E74" s="26" t="s">
        <v>100</v>
      </c>
      <c r="F74" s="19" t="s">
        <v>63</v>
      </c>
      <c r="G74" s="27">
        <v>1</v>
      </c>
      <c r="H74" s="26" t="s">
        <v>101</v>
      </c>
      <c r="I74" s="29">
        <v>1</v>
      </c>
      <c r="J74" s="26">
        <f>VLOOKUP(C:C,'4.几何拓扑逻辑检查'!D:J,7,FALSE)</f>
        <v>18111</v>
      </c>
      <c r="K74" s="26">
        <v>0</v>
      </c>
      <c r="L74" s="30">
        <f t="shared" si="2"/>
        <v>1</v>
      </c>
      <c r="M74" s="8" t="str">
        <f t="shared" si="3"/>
        <v>是</v>
      </c>
      <c r="N74" s="26"/>
    </row>
    <row r="75" spans="1:14">
      <c r="A75" s="26">
        <v>74</v>
      </c>
      <c r="B75" s="19">
        <v>10130</v>
      </c>
      <c r="C75" s="19" t="s">
        <v>151</v>
      </c>
      <c r="D75" s="19" t="s">
        <v>120</v>
      </c>
      <c r="E75" s="26" t="s">
        <v>100</v>
      </c>
      <c r="F75" s="19" t="s">
        <v>63</v>
      </c>
      <c r="G75" s="27">
        <v>1</v>
      </c>
      <c r="H75" s="26" t="s">
        <v>101</v>
      </c>
      <c r="I75" s="29">
        <v>1</v>
      </c>
      <c r="J75" s="26">
        <f>VLOOKUP(C:C,'4.几何拓扑逻辑检查'!D:J,7,FALSE)</f>
        <v>18111</v>
      </c>
      <c r="K75" s="26">
        <v>0</v>
      </c>
      <c r="L75" s="30">
        <f t="shared" si="2"/>
        <v>1</v>
      </c>
      <c r="M75" s="8" t="str">
        <f t="shared" si="3"/>
        <v>是</v>
      </c>
      <c r="N75" s="26"/>
    </row>
    <row r="76" spans="1:14">
      <c r="A76" s="26">
        <v>75</v>
      </c>
      <c r="B76" s="19">
        <v>10131</v>
      </c>
      <c r="C76" s="19" t="s">
        <v>151</v>
      </c>
      <c r="D76" s="19" t="s">
        <v>122</v>
      </c>
      <c r="E76" s="26" t="s">
        <v>100</v>
      </c>
      <c r="F76" s="19" t="s">
        <v>63</v>
      </c>
      <c r="G76" s="27">
        <v>1</v>
      </c>
      <c r="H76" s="26" t="s">
        <v>101</v>
      </c>
      <c r="I76" s="29">
        <v>1</v>
      </c>
      <c r="J76" s="26">
        <f>VLOOKUP(C:C,'4.几何拓扑逻辑检查'!D:J,7,FALSE)</f>
        <v>18111</v>
      </c>
      <c r="K76" s="26">
        <v>0</v>
      </c>
      <c r="L76" s="30">
        <f t="shared" si="2"/>
        <v>1</v>
      </c>
      <c r="M76" s="8" t="str">
        <f t="shared" si="3"/>
        <v>是</v>
      </c>
      <c r="N76" s="26"/>
    </row>
    <row r="77" spans="1:14">
      <c r="A77" s="26">
        <v>76</v>
      </c>
      <c r="B77" s="19">
        <v>10132</v>
      </c>
      <c r="C77" s="19" t="s">
        <v>151</v>
      </c>
      <c r="D77" s="19" t="s">
        <v>152</v>
      </c>
      <c r="E77" s="26" t="s">
        <v>100</v>
      </c>
      <c r="F77" s="19" t="s">
        <v>63</v>
      </c>
      <c r="G77" s="27">
        <v>1</v>
      </c>
      <c r="H77" s="26" t="s">
        <v>101</v>
      </c>
      <c r="I77" s="29">
        <v>1</v>
      </c>
      <c r="J77" s="26">
        <f>VLOOKUP(C:C,'4.几何拓扑逻辑检查'!D:J,7,FALSE)</f>
        <v>18111</v>
      </c>
      <c r="K77" s="26">
        <v>0</v>
      </c>
      <c r="L77" s="30">
        <f t="shared" si="2"/>
        <v>1</v>
      </c>
      <c r="M77" s="8" t="str">
        <f t="shared" si="3"/>
        <v>是</v>
      </c>
      <c r="N77" s="26"/>
    </row>
    <row r="78" spans="1:14">
      <c r="A78" s="26">
        <v>77</v>
      </c>
      <c r="B78" s="19">
        <v>10133</v>
      </c>
      <c r="C78" s="19" t="s">
        <v>151</v>
      </c>
      <c r="D78" s="19" t="s">
        <v>150</v>
      </c>
      <c r="E78" s="26" t="s">
        <v>100</v>
      </c>
      <c r="F78" s="19" t="s">
        <v>63</v>
      </c>
      <c r="G78" s="27">
        <v>1</v>
      </c>
      <c r="H78" s="26" t="s">
        <v>101</v>
      </c>
      <c r="I78" s="29">
        <v>1</v>
      </c>
      <c r="J78" s="26">
        <f>VLOOKUP(C:C,'4.几何拓扑逻辑检查'!D:J,7,FALSE)</f>
        <v>18111</v>
      </c>
      <c r="K78" s="26">
        <v>0</v>
      </c>
      <c r="L78" s="30">
        <f t="shared" si="2"/>
        <v>1</v>
      </c>
      <c r="M78" s="8" t="str">
        <f t="shared" si="3"/>
        <v>是</v>
      </c>
      <c r="N78" s="26"/>
    </row>
    <row r="79" spans="1:14">
      <c r="A79" s="26">
        <v>78</v>
      </c>
      <c r="B79" s="19">
        <v>10134</v>
      </c>
      <c r="C79" s="19" t="s">
        <v>151</v>
      </c>
      <c r="D79" s="19" t="s">
        <v>118</v>
      </c>
      <c r="E79" s="26" t="s">
        <v>100</v>
      </c>
      <c r="F79" s="19" t="s">
        <v>63</v>
      </c>
      <c r="G79" s="27">
        <v>1</v>
      </c>
      <c r="H79" s="26" t="s">
        <v>101</v>
      </c>
      <c r="I79" s="29">
        <v>1</v>
      </c>
      <c r="J79" s="26">
        <f>VLOOKUP(C:C,'4.几何拓扑逻辑检查'!D:J,7,FALSE)</f>
        <v>18111</v>
      </c>
      <c r="K79" s="26">
        <v>0</v>
      </c>
      <c r="L79" s="30">
        <f t="shared" si="2"/>
        <v>1</v>
      </c>
      <c r="M79" s="8" t="str">
        <f t="shared" si="3"/>
        <v>是</v>
      </c>
      <c r="N79" s="26"/>
    </row>
    <row r="80" spans="1:14">
      <c r="A80" s="26">
        <v>79</v>
      </c>
      <c r="B80" s="19">
        <v>10135</v>
      </c>
      <c r="C80" s="19" t="s">
        <v>153</v>
      </c>
      <c r="D80" s="19" t="s">
        <v>154</v>
      </c>
      <c r="E80" s="26" t="s">
        <v>100</v>
      </c>
      <c r="F80" s="19" t="s">
        <v>63</v>
      </c>
      <c r="G80" s="27">
        <v>1</v>
      </c>
      <c r="H80" s="26" t="s">
        <v>101</v>
      </c>
      <c r="I80" s="29">
        <v>1</v>
      </c>
      <c r="J80" s="26">
        <f>VLOOKUP(C:C,'4.几何拓扑逻辑检查'!D:J,7,FALSE)</f>
        <v>194834</v>
      </c>
      <c r="K80" s="26">
        <v>0</v>
      </c>
      <c r="L80" s="30">
        <f t="shared" si="2"/>
        <v>1</v>
      </c>
      <c r="M80" s="8" t="str">
        <f t="shared" si="3"/>
        <v>是</v>
      </c>
      <c r="N80" s="26"/>
    </row>
    <row r="81" spans="1:14">
      <c r="A81" s="26">
        <v>80</v>
      </c>
      <c r="B81" s="19">
        <v>10136</v>
      </c>
      <c r="C81" s="19" t="s">
        <v>153</v>
      </c>
      <c r="D81" s="19" t="s">
        <v>155</v>
      </c>
      <c r="E81" s="26" t="s">
        <v>100</v>
      </c>
      <c r="F81" s="19" t="s">
        <v>63</v>
      </c>
      <c r="G81" s="27">
        <v>1</v>
      </c>
      <c r="H81" s="26" t="s">
        <v>101</v>
      </c>
      <c r="I81" s="29">
        <v>1</v>
      </c>
      <c r="J81" s="26">
        <f>VLOOKUP(C:C,'4.几何拓扑逻辑检查'!D:J,7,FALSE)</f>
        <v>194834</v>
      </c>
      <c r="K81" s="26">
        <v>0</v>
      </c>
      <c r="L81" s="30">
        <f t="shared" si="2"/>
        <v>1</v>
      </c>
      <c r="M81" s="8" t="str">
        <f t="shared" si="3"/>
        <v>是</v>
      </c>
      <c r="N81" s="26"/>
    </row>
    <row r="82" spans="1:14">
      <c r="A82" s="26">
        <v>81</v>
      </c>
      <c r="B82" s="19">
        <v>10137</v>
      </c>
      <c r="C82" s="19" t="s">
        <v>153</v>
      </c>
      <c r="D82" s="19" t="s">
        <v>156</v>
      </c>
      <c r="E82" s="26" t="s">
        <v>100</v>
      </c>
      <c r="F82" s="19" t="s">
        <v>63</v>
      </c>
      <c r="G82" s="27">
        <v>1</v>
      </c>
      <c r="H82" s="26" t="s">
        <v>101</v>
      </c>
      <c r="I82" s="29">
        <v>1</v>
      </c>
      <c r="J82" s="26">
        <f>VLOOKUP(C:C,'4.几何拓扑逻辑检查'!D:J,7,FALSE)</f>
        <v>194834</v>
      </c>
      <c r="K82" s="26">
        <v>0</v>
      </c>
      <c r="L82" s="30">
        <f t="shared" si="2"/>
        <v>1</v>
      </c>
      <c r="M82" s="8" t="str">
        <f t="shared" si="3"/>
        <v>是</v>
      </c>
      <c r="N82" s="26"/>
    </row>
    <row r="83" spans="1:14">
      <c r="A83" s="26">
        <v>82</v>
      </c>
      <c r="B83" s="19">
        <v>10138</v>
      </c>
      <c r="C83" s="19" t="s">
        <v>153</v>
      </c>
      <c r="D83" s="19" t="s">
        <v>157</v>
      </c>
      <c r="E83" s="26" t="s">
        <v>100</v>
      </c>
      <c r="F83" s="19" t="s">
        <v>63</v>
      </c>
      <c r="G83" s="27">
        <v>1</v>
      </c>
      <c r="H83" s="26" t="s">
        <v>101</v>
      </c>
      <c r="I83" s="29">
        <v>1</v>
      </c>
      <c r="J83" s="26">
        <f>VLOOKUP(C:C,'4.几何拓扑逻辑检查'!D:J,7,FALSE)</f>
        <v>194834</v>
      </c>
      <c r="K83" s="26">
        <v>0</v>
      </c>
      <c r="L83" s="30">
        <f t="shared" si="2"/>
        <v>1</v>
      </c>
      <c r="M83" s="8" t="str">
        <f t="shared" si="3"/>
        <v>是</v>
      </c>
      <c r="N83" s="26"/>
    </row>
    <row r="84" spans="1:14">
      <c r="A84" s="26">
        <v>83</v>
      </c>
      <c r="B84" s="19">
        <v>10139</v>
      </c>
      <c r="C84" s="19" t="s">
        <v>153</v>
      </c>
      <c r="D84" s="19" t="s">
        <v>158</v>
      </c>
      <c r="E84" s="26" t="s">
        <v>100</v>
      </c>
      <c r="F84" s="19" t="s">
        <v>63</v>
      </c>
      <c r="G84" s="27">
        <v>1</v>
      </c>
      <c r="H84" s="26" t="s">
        <v>101</v>
      </c>
      <c r="I84" s="29">
        <v>1</v>
      </c>
      <c r="J84" s="26">
        <f>VLOOKUP(C:C,'4.几何拓扑逻辑检查'!D:J,7,FALSE)</f>
        <v>194834</v>
      </c>
      <c r="K84" s="26">
        <v>0</v>
      </c>
      <c r="L84" s="30">
        <f t="shared" si="2"/>
        <v>1</v>
      </c>
      <c r="M84" s="8" t="str">
        <f t="shared" si="3"/>
        <v>是</v>
      </c>
      <c r="N84" s="26"/>
    </row>
    <row r="85" spans="1:14">
      <c r="A85" s="26">
        <v>84</v>
      </c>
      <c r="B85" s="19">
        <v>10140</v>
      </c>
      <c r="C85" s="19" t="s">
        <v>153</v>
      </c>
      <c r="D85" s="19" t="s">
        <v>159</v>
      </c>
      <c r="E85" s="26" t="s">
        <v>100</v>
      </c>
      <c r="F85" s="19" t="s">
        <v>63</v>
      </c>
      <c r="G85" s="27">
        <v>1</v>
      </c>
      <c r="H85" s="26" t="s">
        <v>101</v>
      </c>
      <c r="I85" s="29">
        <v>1</v>
      </c>
      <c r="J85" s="26">
        <f>VLOOKUP(C:C,'4.几何拓扑逻辑检查'!D:J,7,FALSE)</f>
        <v>194834</v>
      </c>
      <c r="K85" s="26">
        <v>0</v>
      </c>
      <c r="L85" s="30">
        <f t="shared" si="2"/>
        <v>1</v>
      </c>
      <c r="M85" s="8" t="str">
        <f t="shared" si="3"/>
        <v>是</v>
      </c>
      <c r="N85" s="26"/>
    </row>
    <row r="86" spans="1:14">
      <c r="A86" s="26">
        <v>85</v>
      </c>
      <c r="B86" s="19">
        <v>10141</v>
      </c>
      <c r="C86" s="19" t="s">
        <v>153</v>
      </c>
      <c r="D86" s="19" t="s">
        <v>160</v>
      </c>
      <c r="E86" s="26" t="s">
        <v>100</v>
      </c>
      <c r="F86" s="19" t="s">
        <v>63</v>
      </c>
      <c r="G86" s="27">
        <v>1</v>
      </c>
      <c r="H86" s="26" t="s">
        <v>101</v>
      </c>
      <c r="I86" s="29">
        <v>1</v>
      </c>
      <c r="J86" s="26">
        <f>VLOOKUP(C:C,'4.几何拓扑逻辑检查'!D:J,7,FALSE)</f>
        <v>194834</v>
      </c>
      <c r="K86" s="26">
        <v>0</v>
      </c>
      <c r="L86" s="30">
        <f t="shared" si="2"/>
        <v>1</v>
      </c>
      <c r="M86" s="8" t="str">
        <f t="shared" si="3"/>
        <v>是</v>
      </c>
      <c r="N86" s="26"/>
    </row>
    <row r="87" spans="1:14">
      <c r="A87" s="26">
        <v>86</v>
      </c>
      <c r="B87" s="19">
        <v>10142</v>
      </c>
      <c r="C87" s="19" t="s">
        <v>153</v>
      </c>
      <c r="D87" s="19" t="s">
        <v>161</v>
      </c>
      <c r="E87" s="26" t="s">
        <v>100</v>
      </c>
      <c r="F87" s="19" t="s">
        <v>63</v>
      </c>
      <c r="G87" s="27">
        <v>1</v>
      </c>
      <c r="H87" s="26" t="s">
        <v>101</v>
      </c>
      <c r="I87" s="29">
        <v>1</v>
      </c>
      <c r="J87" s="26">
        <f>VLOOKUP(C:C,'4.几何拓扑逻辑检查'!D:J,7,FALSE)</f>
        <v>194834</v>
      </c>
      <c r="K87" s="26">
        <v>0</v>
      </c>
      <c r="L87" s="30">
        <f t="shared" si="2"/>
        <v>1</v>
      </c>
      <c r="M87" s="8" t="str">
        <f t="shared" si="3"/>
        <v>是</v>
      </c>
      <c r="N87" s="26"/>
    </row>
    <row r="88" spans="1:14">
      <c r="A88" s="26">
        <v>87</v>
      </c>
      <c r="B88" s="19">
        <v>10143</v>
      </c>
      <c r="C88" s="19" t="s">
        <v>153</v>
      </c>
      <c r="D88" s="19" t="s">
        <v>118</v>
      </c>
      <c r="E88" s="26" t="s">
        <v>100</v>
      </c>
      <c r="F88" s="19" t="s">
        <v>63</v>
      </c>
      <c r="G88" s="27">
        <v>1</v>
      </c>
      <c r="H88" s="26" t="s">
        <v>101</v>
      </c>
      <c r="I88" s="29">
        <v>1</v>
      </c>
      <c r="J88" s="26">
        <f>VLOOKUP(C:C,'4.几何拓扑逻辑检查'!D:J,7,FALSE)</f>
        <v>194834</v>
      </c>
      <c r="K88" s="26">
        <v>0</v>
      </c>
      <c r="L88" s="30">
        <f t="shared" si="2"/>
        <v>1</v>
      </c>
      <c r="M88" s="8" t="str">
        <f t="shared" si="3"/>
        <v>是</v>
      </c>
      <c r="N88" s="26"/>
    </row>
    <row r="89" spans="1:14">
      <c r="A89" s="26">
        <v>88</v>
      </c>
      <c r="B89" s="19">
        <v>10144</v>
      </c>
      <c r="C89" s="19" t="s">
        <v>162</v>
      </c>
      <c r="D89" s="19" t="s">
        <v>156</v>
      </c>
      <c r="E89" s="26" t="s">
        <v>100</v>
      </c>
      <c r="F89" s="19" t="s">
        <v>63</v>
      </c>
      <c r="G89" s="27">
        <v>1</v>
      </c>
      <c r="H89" s="26" t="s">
        <v>101</v>
      </c>
      <c r="I89" s="29">
        <v>1</v>
      </c>
      <c r="J89" s="26">
        <f>VLOOKUP(C:C,'4.几何拓扑逻辑检查'!D:J,7,FALSE)</f>
        <v>2098</v>
      </c>
      <c r="K89" s="26">
        <v>0</v>
      </c>
      <c r="L89" s="30">
        <f t="shared" si="2"/>
        <v>1</v>
      </c>
      <c r="M89" s="8" t="str">
        <f t="shared" si="3"/>
        <v>是</v>
      </c>
      <c r="N89" s="26"/>
    </row>
    <row r="90" spans="1:14">
      <c r="A90" s="26">
        <v>89</v>
      </c>
      <c r="B90" s="19">
        <v>10216</v>
      </c>
      <c r="C90" s="19" t="s">
        <v>162</v>
      </c>
      <c r="D90" s="19" t="s">
        <v>157</v>
      </c>
      <c r="E90" s="26" t="s">
        <v>100</v>
      </c>
      <c r="F90" s="19" t="s">
        <v>63</v>
      </c>
      <c r="G90" s="27">
        <v>1</v>
      </c>
      <c r="H90" s="26" t="s">
        <v>101</v>
      </c>
      <c r="I90" s="29">
        <v>1</v>
      </c>
      <c r="J90" s="26">
        <f>VLOOKUP(C:C,'4.几何拓扑逻辑检查'!D:J,7,FALSE)</f>
        <v>2098</v>
      </c>
      <c r="K90" s="26">
        <v>0</v>
      </c>
      <c r="L90" s="30">
        <f t="shared" si="2"/>
        <v>1</v>
      </c>
      <c r="M90" s="8" t="str">
        <f t="shared" si="3"/>
        <v>是</v>
      </c>
      <c r="N90" s="26"/>
    </row>
    <row r="91" spans="1:14">
      <c r="A91" s="26">
        <v>90</v>
      </c>
      <c r="B91" s="19">
        <v>10145</v>
      </c>
      <c r="C91" s="19" t="s">
        <v>162</v>
      </c>
      <c r="D91" s="19" t="s">
        <v>163</v>
      </c>
      <c r="E91" s="26" t="s">
        <v>100</v>
      </c>
      <c r="F91" s="19" t="s">
        <v>63</v>
      </c>
      <c r="G91" s="27">
        <v>1</v>
      </c>
      <c r="H91" s="26" t="s">
        <v>101</v>
      </c>
      <c r="I91" s="29">
        <v>1</v>
      </c>
      <c r="J91" s="26">
        <f>VLOOKUP(C:C,'4.几何拓扑逻辑检查'!D:J,7,FALSE)</f>
        <v>2098</v>
      </c>
      <c r="K91" s="26">
        <v>0</v>
      </c>
      <c r="L91" s="30">
        <f t="shared" si="2"/>
        <v>1</v>
      </c>
      <c r="M91" s="8" t="str">
        <f t="shared" si="3"/>
        <v>是</v>
      </c>
      <c r="N91" s="26"/>
    </row>
    <row r="92" spans="1:14">
      <c r="A92" s="26">
        <v>91</v>
      </c>
      <c r="B92" s="19">
        <v>10146</v>
      </c>
      <c r="C92" s="19" t="s">
        <v>162</v>
      </c>
      <c r="D92" s="19" t="s">
        <v>118</v>
      </c>
      <c r="E92" s="26" t="s">
        <v>100</v>
      </c>
      <c r="F92" s="19" t="s">
        <v>63</v>
      </c>
      <c r="G92" s="27">
        <v>1</v>
      </c>
      <c r="H92" s="26" t="s">
        <v>101</v>
      </c>
      <c r="I92" s="29">
        <v>1</v>
      </c>
      <c r="J92" s="26">
        <f>VLOOKUP(C:C,'4.几何拓扑逻辑检查'!D:J,7,FALSE)</f>
        <v>2098</v>
      </c>
      <c r="K92" s="26">
        <v>0</v>
      </c>
      <c r="L92" s="30">
        <f t="shared" si="2"/>
        <v>1</v>
      </c>
      <c r="M92" s="8" t="str">
        <f t="shared" si="3"/>
        <v>是</v>
      </c>
      <c r="N92" s="26"/>
    </row>
    <row r="93" spans="1:14">
      <c r="A93" s="26">
        <v>92</v>
      </c>
      <c r="B93" s="19">
        <v>10147</v>
      </c>
      <c r="C93" s="19" t="s">
        <v>164</v>
      </c>
      <c r="D93" s="19" t="s">
        <v>156</v>
      </c>
      <c r="E93" s="26" t="s">
        <v>100</v>
      </c>
      <c r="F93" s="19" t="s">
        <v>63</v>
      </c>
      <c r="G93" s="27">
        <v>1</v>
      </c>
      <c r="H93" s="26" t="s">
        <v>101</v>
      </c>
      <c r="I93" s="29">
        <v>1</v>
      </c>
      <c r="J93" s="26">
        <f>VLOOKUP(C:C,'4.几何拓扑逻辑检查'!D:J,7,FALSE)</f>
        <v>3462</v>
      </c>
      <c r="K93" s="26">
        <v>0</v>
      </c>
      <c r="L93" s="30">
        <f t="shared" si="2"/>
        <v>1</v>
      </c>
      <c r="M93" s="8" t="str">
        <f t="shared" si="3"/>
        <v>是</v>
      </c>
      <c r="N93" s="26"/>
    </row>
    <row r="94" spans="1:14">
      <c r="A94" s="26">
        <v>93</v>
      </c>
      <c r="B94" s="19">
        <v>10148</v>
      </c>
      <c r="C94" s="19" t="s">
        <v>164</v>
      </c>
      <c r="D94" s="19" t="s">
        <v>157</v>
      </c>
      <c r="E94" s="26" t="s">
        <v>100</v>
      </c>
      <c r="F94" s="19" t="s">
        <v>63</v>
      </c>
      <c r="G94" s="27">
        <v>1</v>
      </c>
      <c r="H94" s="26" t="s">
        <v>101</v>
      </c>
      <c r="I94" s="29">
        <v>1</v>
      </c>
      <c r="J94" s="26">
        <f>VLOOKUP(C:C,'4.几何拓扑逻辑检查'!D:J,7,FALSE)</f>
        <v>3462</v>
      </c>
      <c r="K94" s="26">
        <v>0</v>
      </c>
      <c r="L94" s="30">
        <f t="shared" si="2"/>
        <v>1</v>
      </c>
      <c r="M94" s="8" t="str">
        <f t="shared" si="3"/>
        <v>是</v>
      </c>
      <c r="N94" s="26"/>
    </row>
    <row r="95" spans="1:14">
      <c r="A95" s="26">
        <v>94</v>
      </c>
      <c r="B95" s="19">
        <v>10149</v>
      </c>
      <c r="C95" s="19" t="s">
        <v>164</v>
      </c>
      <c r="D95" s="19" t="s">
        <v>127</v>
      </c>
      <c r="E95" s="26" t="s">
        <v>100</v>
      </c>
      <c r="F95" s="19" t="s">
        <v>63</v>
      </c>
      <c r="G95" s="27">
        <v>1</v>
      </c>
      <c r="H95" s="26" t="s">
        <v>101</v>
      </c>
      <c r="I95" s="29">
        <v>1</v>
      </c>
      <c r="J95" s="26">
        <f>VLOOKUP(C:C,'4.几何拓扑逻辑检查'!D:J,7,FALSE)</f>
        <v>3462</v>
      </c>
      <c r="K95" s="26">
        <v>0</v>
      </c>
      <c r="L95" s="30">
        <f t="shared" si="2"/>
        <v>1</v>
      </c>
      <c r="M95" s="8" t="str">
        <f t="shared" si="3"/>
        <v>是</v>
      </c>
      <c r="N95" s="26"/>
    </row>
    <row r="96" spans="1:14">
      <c r="A96" s="26">
        <v>95</v>
      </c>
      <c r="B96" s="19">
        <v>10150</v>
      </c>
      <c r="C96" s="19" t="s">
        <v>164</v>
      </c>
      <c r="D96" s="19" t="s">
        <v>138</v>
      </c>
      <c r="E96" s="26" t="s">
        <v>100</v>
      </c>
      <c r="F96" s="19" t="s">
        <v>63</v>
      </c>
      <c r="G96" s="27">
        <v>1</v>
      </c>
      <c r="H96" s="26" t="s">
        <v>101</v>
      </c>
      <c r="I96" s="29">
        <v>1</v>
      </c>
      <c r="J96" s="26">
        <f>VLOOKUP(C:C,'4.几何拓扑逻辑检查'!D:J,7,FALSE)</f>
        <v>3462</v>
      </c>
      <c r="K96" s="26">
        <v>0</v>
      </c>
      <c r="L96" s="30">
        <f t="shared" si="2"/>
        <v>1</v>
      </c>
      <c r="M96" s="8" t="str">
        <f t="shared" si="3"/>
        <v>是</v>
      </c>
      <c r="N96" s="26"/>
    </row>
    <row r="97" spans="1:14">
      <c r="A97" s="26">
        <v>96</v>
      </c>
      <c r="B97" s="19">
        <v>10151</v>
      </c>
      <c r="C97" s="19" t="s">
        <v>164</v>
      </c>
      <c r="D97" s="19" t="s">
        <v>118</v>
      </c>
      <c r="E97" s="26" t="s">
        <v>100</v>
      </c>
      <c r="F97" s="19" t="s">
        <v>63</v>
      </c>
      <c r="G97" s="27">
        <v>1</v>
      </c>
      <c r="H97" s="26" t="s">
        <v>101</v>
      </c>
      <c r="I97" s="29">
        <v>1</v>
      </c>
      <c r="J97" s="26">
        <f>VLOOKUP(C:C,'4.几何拓扑逻辑检查'!D:J,7,FALSE)</f>
        <v>3462</v>
      </c>
      <c r="K97" s="26">
        <v>0</v>
      </c>
      <c r="L97" s="30">
        <f t="shared" si="2"/>
        <v>1</v>
      </c>
      <c r="M97" s="8" t="str">
        <f t="shared" si="3"/>
        <v>是</v>
      </c>
      <c r="N97" s="26"/>
    </row>
    <row r="98" spans="1:14">
      <c r="A98" s="26">
        <v>97</v>
      </c>
      <c r="B98" s="19">
        <v>10152</v>
      </c>
      <c r="C98" s="19" t="s">
        <v>165</v>
      </c>
      <c r="D98" s="19" t="s">
        <v>99</v>
      </c>
      <c r="E98" s="26" t="s">
        <v>100</v>
      </c>
      <c r="F98" s="19" t="s">
        <v>63</v>
      </c>
      <c r="G98" s="27">
        <v>1</v>
      </c>
      <c r="H98" s="26" t="s">
        <v>101</v>
      </c>
      <c r="I98" s="29">
        <v>1</v>
      </c>
      <c r="J98" s="26">
        <f>VLOOKUP(C:C,'4.几何拓扑逻辑检查'!D:J,7,FALSE)</f>
        <v>14777</v>
      </c>
      <c r="K98" s="26">
        <v>0</v>
      </c>
      <c r="L98" s="30">
        <f t="shared" si="2"/>
        <v>1</v>
      </c>
      <c r="M98" s="8" t="str">
        <f t="shared" si="3"/>
        <v>是</v>
      </c>
      <c r="N98" s="26"/>
    </row>
    <row r="99" spans="1:14">
      <c r="A99" s="26">
        <v>98</v>
      </c>
      <c r="B99" s="19">
        <v>10258</v>
      </c>
      <c r="C99" s="19" t="s">
        <v>165</v>
      </c>
      <c r="D99" s="19" t="s">
        <v>166</v>
      </c>
      <c r="E99" s="26" t="s">
        <v>100</v>
      </c>
      <c r="F99" s="19" t="s">
        <v>63</v>
      </c>
      <c r="G99" s="27">
        <v>1</v>
      </c>
      <c r="H99" s="26" t="s">
        <v>101</v>
      </c>
      <c r="I99" s="29">
        <v>1</v>
      </c>
      <c r="J99" s="26">
        <f>VLOOKUP(C:C,'4.几何拓扑逻辑检查'!D:J,7,FALSE)</f>
        <v>14777</v>
      </c>
      <c r="K99" s="26">
        <v>0</v>
      </c>
      <c r="L99" s="30">
        <f t="shared" si="2"/>
        <v>1</v>
      </c>
      <c r="M99" s="8" t="str">
        <f t="shared" si="3"/>
        <v>是</v>
      </c>
      <c r="N99" s="26"/>
    </row>
    <row r="100" spans="1:14">
      <c r="A100" s="26">
        <v>99</v>
      </c>
      <c r="B100" s="19">
        <v>10153</v>
      </c>
      <c r="C100" s="19" t="s">
        <v>165</v>
      </c>
      <c r="D100" s="19" t="s">
        <v>167</v>
      </c>
      <c r="E100" s="26" t="s">
        <v>100</v>
      </c>
      <c r="F100" s="19" t="s">
        <v>63</v>
      </c>
      <c r="G100" s="27">
        <v>1</v>
      </c>
      <c r="H100" s="26" t="s">
        <v>101</v>
      </c>
      <c r="I100" s="29">
        <v>1</v>
      </c>
      <c r="J100" s="26">
        <f>VLOOKUP(C:C,'4.几何拓扑逻辑检查'!D:J,7,FALSE)</f>
        <v>14777</v>
      </c>
      <c r="K100" s="26">
        <v>0</v>
      </c>
      <c r="L100" s="30">
        <f t="shared" si="2"/>
        <v>1</v>
      </c>
      <c r="M100" s="8" t="str">
        <f t="shared" si="3"/>
        <v>是</v>
      </c>
      <c r="N100" s="26"/>
    </row>
    <row r="101" spans="1:14">
      <c r="A101" s="26">
        <v>100</v>
      </c>
      <c r="B101" s="19">
        <v>10154</v>
      </c>
      <c r="C101" s="19" t="s">
        <v>165</v>
      </c>
      <c r="D101" s="19" t="s">
        <v>168</v>
      </c>
      <c r="E101" s="26" t="s">
        <v>100</v>
      </c>
      <c r="F101" s="19" t="s">
        <v>63</v>
      </c>
      <c r="G101" s="27">
        <v>1</v>
      </c>
      <c r="H101" s="26" t="s">
        <v>101</v>
      </c>
      <c r="I101" s="29">
        <v>1</v>
      </c>
      <c r="J101" s="26">
        <f>VLOOKUP(C:C,'4.几何拓扑逻辑检查'!D:J,7,FALSE)</f>
        <v>14777</v>
      </c>
      <c r="K101" s="26">
        <v>0</v>
      </c>
      <c r="L101" s="30">
        <f t="shared" si="2"/>
        <v>1</v>
      </c>
      <c r="M101" s="8" t="str">
        <f t="shared" si="3"/>
        <v>是</v>
      </c>
      <c r="N101" s="26"/>
    </row>
    <row r="102" spans="1:14">
      <c r="A102" s="26">
        <v>101</v>
      </c>
      <c r="B102" s="19">
        <v>10155</v>
      </c>
      <c r="C102" s="19" t="s">
        <v>165</v>
      </c>
      <c r="D102" s="19" t="s">
        <v>169</v>
      </c>
      <c r="E102" s="26" t="s">
        <v>100</v>
      </c>
      <c r="F102" s="19" t="s">
        <v>63</v>
      </c>
      <c r="G102" s="27">
        <v>1</v>
      </c>
      <c r="H102" s="26" t="s">
        <v>101</v>
      </c>
      <c r="I102" s="29">
        <v>1</v>
      </c>
      <c r="J102" s="26">
        <f>VLOOKUP(C:C,'4.几何拓扑逻辑检查'!D:J,7,FALSE)</f>
        <v>14777</v>
      </c>
      <c r="K102" s="26">
        <v>0</v>
      </c>
      <c r="L102" s="30">
        <f t="shared" si="2"/>
        <v>1</v>
      </c>
      <c r="M102" s="8" t="str">
        <f t="shared" si="3"/>
        <v>是</v>
      </c>
      <c r="N102" s="26"/>
    </row>
    <row r="103" spans="1:14">
      <c r="A103" s="26">
        <v>102</v>
      </c>
      <c r="B103" s="19">
        <v>10156</v>
      </c>
      <c r="C103" s="19" t="s">
        <v>165</v>
      </c>
      <c r="D103" s="19" t="s">
        <v>170</v>
      </c>
      <c r="E103" s="26" t="s">
        <v>100</v>
      </c>
      <c r="F103" s="19" t="s">
        <v>63</v>
      </c>
      <c r="G103" s="27">
        <v>1</v>
      </c>
      <c r="H103" s="26" t="s">
        <v>101</v>
      </c>
      <c r="I103" s="29">
        <v>1</v>
      </c>
      <c r="J103" s="26">
        <f>VLOOKUP(C:C,'4.几何拓扑逻辑检查'!D:J,7,FALSE)</f>
        <v>14777</v>
      </c>
      <c r="K103" s="26">
        <v>0</v>
      </c>
      <c r="L103" s="30">
        <f t="shared" si="2"/>
        <v>1</v>
      </c>
      <c r="M103" s="8" t="str">
        <f t="shared" si="3"/>
        <v>是</v>
      </c>
      <c r="N103" s="26"/>
    </row>
    <row r="104" spans="1:14">
      <c r="A104" s="26">
        <v>103</v>
      </c>
      <c r="B104" s="19">
        <v>10157</v>
      </c>
      <c r="C104" s="19" t="s">
        <v>165</v>
      </c>
      <c r="D104" s="19" t="s">
        <v>128</v>
      </c>
      <c r="E104" s="26" t="s">
        <v>100</v>
      </c>
      <c r="F104" s="19" t="s">
        <v>63</v>
      </c>
      <c r="G104" s="27">
        <v>1</v>
      </c>
      <c r="H104" s="26" t="s">
        <v>101</v>
      </c>
      <c r="I104" s="29">
        <v>1</v>
      </c>
      <c r="J104" s="26">
        <f>VLOOKUP(C:C,'4.几何拓扑逻辑检查'!D:J,7,FALSE)</f>
        <v>14777</v>
      </c>
      <c r="K104" s="26">
        <v>0</v>
      </c>
      <c r="L104" s="30">
        <f t="shared" si="2"/>
        <v>1</v>
      </c>
      <c r="M104" s="8" t="str">
        <f t="shared" si="3"/>
        <v>是</v>
      </c>
      <c r="N104" s="26"/>
    </row>
    <row r="105" spans="1:14">
      <c r="A105" s="26">
        <v>104</v>
      </c>
      <c r="B105" s="19">
        <v>10158</v>
      </c>
      <c r="C105" s="19" t="s">
        <v>165</v>
      </c>
      <c r="D105" s="19" t="s">
        <v>129</v>
      </c>
      <c r="E105" s="26" t="s">
        <v>100</v>
      </c>
      <c r="F105" s="19" t="s">
        <v>63</v>
      </c>
      <c r="G105" s="27">
        <v>1</v>
      </c>
      <c r="H105" s="26" t="s">
        <v>101</v>
      </c>
      <c r="I105" s="29">
        <v>1</v>
      </c>
      <c r="J105" s="26">
        <f>VLOOKUP(C:C,'4.几何拓扑逻辑检查'!D:J,7,FALSE)</f>
        <v>14777</v>
      </c>
      <c r="K105" s="26">
        <v>0</v>
      </c>
      <c r="L105" s="30">
        <f t="shared" si="2"/>
        <v>1</v>
      </c>
      <c r="M105" s="8" t="str">
        <f t="shared" si="3"/>
        <v>是</v>
      </c>
      <c r="N105" s="26"/>
    </row>
    <row r="106" spans="1:14">
      <c r="A106" s="26">
        <v>105</v>
      </c>
      <c r="B106" s="19">
        <v>10159</v>
      </c>
      <c r="C106" s="19" t="s">
        <v>165</v>
      </c>
      <c r="D106" s="19" t="s">
        <v>171</v>
      </c>
      <c r="E106" s="26" t="s">
        <v>100</v>
      </c>
      <c r="F106" s="19" t="s">
        <v>63</v>
      </c>
      <c r="G106" s="27">
        <v>1</v>
      </c>
      <c r="H106" s="26" t="s">
        <v>101</v>
      </c>
      <c r="I106" s="29">
        <v>1</v>
      </c>
      <c r="J106" s="26">
        <f>VLOOKUP(C:C,'4.几何拓扑逻辑检查'!D:J,7,FALSE)</f>
        <v>14777</v>
      </c>
      <c r="K106" s="26">
        <v>0</v>
      </c>
      <c r="L106" s="30">
        <f t="shared" si="2"/>
        <v>1</v>
      </c>
      <c r="M106" s="8" t="str">
        <f t="shared" si="3"/>
        <v>是</v>
      </c>
      <c r="N106" s="26"/>
    </row>
    <row r="107" spans="1:14">
      <c r="A107" s="26">
        <v>106</v>
      </c>
      <c r="B107" s="19">
        <v>10160</v>
      </c>
      <c r="C107" s="19" t="s">
        <v>165</v>
      </c>
      <c r="D107" s="19" t="s">
        <v>172</v>
      </c>
      <c r="E107" s="26" t="s">
        <v>100</v>
      </c>
      <c r="F107" s="19" t="s">
        <v>63</v>
      </c>
      <c r="G107" s="27">
        <v>1</v>
      </c>
      <c r="H107" s="26" t="s">
        <v>101</v>
      </c>
      <c r="I107" s="29">
        <v>1</v>
      </c>
      <c r="J107" s="26">
        <f>VLOOKUP(C:C,'4.几何拓扑逻辑检查'!D:J,7,FALSE)</f>
        <v>14777</v>
      </c>
      <c r="K107" s="26">
        <v>0</v>
      </c>
      <c r="L107" s="30">
        <f t="shared" si="2"/>
        <v>1</v>
      </c>
      <c r="M107" s="8" t="str">
        <f t="shared" si="3"/>
        <v>是</v>
      </c>
      <c r="N107" s="26"/>
    </row>
    <row r="108" spans="1:14">
      <c r="A108" s="26">
        <v>107</v>
      </c>
      <c r="B108" s="19">
        <v>10161</v>
      </c>
      <c r="C108" s="19" t="s">
        <v>165</v>
      </c>
      <c r="D108" s="19" t="s">
        <v>173</v>
      </c>
      <c r="E108" s="26" t="s">
        <v>100</v>
      </c>
      <c r="F108" s="19" t="s">
        <v>63</v>
      </c>
      <c r="G108" s="27">
        <v>1</v>
      </c>
      <c r="H108" s="26" t="s">
        <v>101</v>
      </c>
      <c r="I108" s="29">
        <v>1</v>
      </c>
      <c r="J108" s="26">
        <f>VLOOKUP(C:C,'4.几何拓扑逻辑检查'!D:J,7,FALSE)</f>
        <v>14777</v>
      </c>
      <c r="K108" s="26">
        <v>0</v>
      </c>
      <c r="L108" s="30">
        <f t="shared" si="2"/>
        <v>1</v>
      </c>
      <c r="M108" s="8" t="str">
        <f t="shared" si="3"/>
        <v>是</v>
      </c>
      <c r="N108" s="26"/>
    </row>
    <row r="109" spans="1:14">
      <c r="A109" s="26">
        <v>108</v>
      </c>
      <c r="B109" s="19">
        <v>10162</v>
      </c>
      <c r="C109" s="19" t="s">
        <v>165</v>
      </c>
      <c r="D109" s="19" t="s">
        <v>174</v>
      </c>
      <c r="E109" s="26" t="s">
        <v>100</v>
      </c>
      <c r="F109" s="19" t="s">
        <v>63</v>
      </c>
      <c r="G109" s="27">
        <v>1</v>
      </c>
      <c r="H109" s="26" t="s">
        <v>101</v>
      </c>
      <c r="I109" s="29">
        <v>1</v>
      </c>
      <c r="J109" s="26">
        <f>VLOOKUP(C:C,'4.几何拓扑逻辑检查'!D:J,7,FALSE)</f>
        <v>14777</v>
      </c>
      <c r="K109" s="26">
        <v>0</v>
      </c>
      <c r="L109" s="30">
        <f t="shared" si="2"/>
        <v>1</v>
      </c>
      <c r="M109" s="8" t="str">
        <f t="shared" si="3"/>
        <v>是</v>
      </c>
      <c r="N109" s="26"/>
    </row>
    <row r="110" spans="1:14">
      <c r="A110" s="26">
        <v>109</v>
      </c>
      <c r="B110" s="19">
        <v>10163</v>
      </c>
      <c r="C110" s="19" t="s">
        <v>165</v>
      </c>
      <c r="D110" s="19" t="s">
        <v>175</v>
      </c>
      <c r="E110" s="26" t="s">
        <v>100</v>
      </c>
      <c r="F110" s="19" t="s">
        <v>63</v>
      </c>
      <c r="G110" s="27">
        <v>1</v>
      </c>
      <c r="H110" s="26" t="s">
        <v>101</v>
      </c>
      <c r="I110" s="29">
        <v>1</v>
      </c>
      <c r="J110" s="26">
        <f>VLOOKUP(C:C,'4.几何拓扑逻辑检查'!D:J,7,FALSE)</f>
        <v>14777</v>
      </c>
      <c r="K110" s="26">
        <v>0</v>
      </c>
      <c r="L110" s="30">
        <f t="shared" si="2"/>
        <v>1</v>
      </c>
      <c r="M110" s="8" t="str">
        <f t="shared" si="3"/>
        <v>是</v>
      </c>
      <c r="N110" s="26"/>
    </row>
    <row r="111" spans="1:14">
      <c r="A111" s="26">
        <v>110</v>
      </c>
      <c r="B111" s="19">
        <v>10164</v>
      </c>
      <c r="C111" s="19" t="s">
        <v>165</v>
      </c>
      <c r="D111" s="19" t="s">
        <v>176</v>
      </c>
      <c r="E111" s="26" t="s">
        <v>100</v>
      </c>
      <c r="F111" s="19" t="s">
        <v>63</v>
      </c>
      <c r="G111" s="27">
        <v>1</v>
      </c>
      <c r="H111" s="26" t="s">
        <v>101</v>
      </c>
      <c r="I111" s="29">
        <v>1</v>
      </c>
      <c r="J111" s="26">
        <f>VLOOKUP(C:C,'4.几何拓扑逻辑检查'!D:J,7,FALSE)</f>
        <v>14777</v>
      </c>
      <c r="K111" s="26">
        <v>0</v>
      </c>
      <c r="L111" s="30">
        <f t="shared" si="2"/>
        <v>1</v>
      </c>
      <c r="M111" s="8" t="str">
        <f t="shared" si="3"/>
        <v>是</v>
      </c>
      <c r="N111" s="26"/>
    </row>
    <row r="112" spans="1:14">
      <c r="A112" s="26">
        <v>111</v>
      </c>
      <c r="B112" s="19">
        <v>10165</v>
      </c>
      <c r="C112" s="19" t="s">
        <v>165</v>
      </c>
      <c r="D112" s="19" t="s">
        <v>107</v>
      </c>
      <c r="E112" s="26" t="s">
        <v>100</v>
      </c>
      <c r="F112" s="19" t="s">
        <v>63</v>
      </c>
      <c r="G112" s="27">
        <v>1</v>
      </c>
      <c r="H112" s="26" t="s">
        <v>101</v>
      </c>
      <c r="I112" s="29">
        <v>1</v>
      </c>
      <c r="J112" s="26">
        <f>VLOOKUP(C:C,'4.几何拓扑逻辑检查'!D:J,7,FALSE)</f>
        <v>14777</v>
      </c>
      <c r="K112" s="26">
        <v>0</v>
      </c>
      <c r="L112" s="30">
        <f t="shared" si="2"/>
        <v>1</v>
      </c>
      <c r="M112" s="8" t="str">
        <f t="shared" si="3"/>
        <v>是</v>
      </c>
      <c r="N112" s="26"/>
    </row>
    <row r="113" spans="1:14">
      <c r="A113" s="26">
        <v>112</v>
      </c>
      <c r="B113" s="19">
        <v>10166</v>
      </c>
      <c r="C113" s="19" t="s">
        <v>165</v>
      </c>
      <c r="D113" s="19" t="s">
        <v>177</v>
      </c>
      <c r="E113" s="26" t="s">
        <v>100</v>
      </c>
      <c r="F113" s="19" t="s">
        <v>63</v>
      </c>
      <c r="G113" s="27">
        <v>1</v>
      </c>
      <c r="H113" s="26" t="s">
        <v>101</v>
      </c>
      <c r="I113" s="29">
        <v>1</v>
      </c>
      <c r="J113" s="26">
        <f>VLOOKUP(C:C,'4.几何拓扑逻辑检查'!D:J,7,FALSE)</f>
        <v>14777</v>
      </c>
      <c r="K113" s="26">
        <v>0</v>
      </c>
      <c r="L113" s="30">
        <f t="shared" si="2"/>
        <v>1</v>
      </c>
      <c r="M113" s="8" t="str">
        <f t="shared" si="3"/>
        <v>是</v>
      </c>
      <c r="N113" s="26"/>
    </row>
    <row r="114" spans="1:14">
      <c r="A114" s="26">
        <v>113</v>
      </c>
      <c r="B114" s="19">
        <v>10167</v>
      </c>
      <c r="C114" s="19" t="s">
        <v>165</v>
      </c>
      <c r="D114" s="19" t="s">
        <v>118</v>
      </c>
      <c r="E114" s="26" t="s">
        <v>100</v>
      </c>
      <c r="F114" s="19" t="s">
        <v>63</v>
      </c>
      <c r="G114" s="27">
        <v>1</v>
      </c>
      <c r="H114" s="26" t="s">
        <v>101</v>
      </c>
      <c r="I114" s="29">
        <v>1</v>
      </c>
      <c r="J114" s="26">
        <f>VLOOKUP(C:C,'4.几何拓扑逻辑检查'!D:J,7,FALSE)</f>
        <v>14777</v>
      </c>
      <c r="K114" s="26">
        <v>0</v>
      </c>
      <c r="L114" s="30">
        <f t="shared" si="2"/>
        <v>1</v>
      </c>
      <c r="M114" s="8" t="str">
        <f t="shared" si="3"/>
        <v>是</v>
      </c>
      <c r="N114" s="26"/>
    </row>
    <row r="115" spans="1:14">
      <c r="A115" s="26">
        <v>114</v>
      </c>
      <c r="B115" s="19">
        <v>10168</v>
      </c>
      <c r="C115" s="19" t="s">
        <v>178</v>
      </c>
      <c r="D115" s="19" t="s">
        <v>99</v>
      </c>
      <c r="E115" s="26" t="s">
        <v>100</v>
      </c>
      <c r="F115" s="19" t="s">
        <v>63</v>
      </c>
      <c r="G115" s="27">
        <v>1</v>
      </c>
      <c r="H115" s="26" t="s">
        <v>101</v>
      </c>
      <c r="I115" s="29">
        <v>1</v>
      </c>
      <c r="J115" s="26">
        <f>VLOOKUP(C:C,'4.几何拓扑逻辑检查'!D:J,7,FALSE)</f>
        <v>14838</v>
      </c>
      <c r="K115" s="26">
        <v>0</v>
      </c>
      <c r="L115" s="30">
        <f t="shared" si="2"/>
        <v>1</v>
      </c>
      <c r="M115" s="8" t="str">
        <f t="shared" si="3"/>
        <v>是</v>
      </c>
      <c r="N115" s="26"/>
    </row>
    <row r="116" spans="1:14">
      <c r="A116" s="26">
        <v>115</v>
      </c>
      <c r="B116" s="19">
        <v>10169</v>
      </c>
      <c r="C116" s="19" t="s">
        <v>178</v>
      </c>
      <c r="D116" s="19" t="s">
        <v>118</v>
      </c>
      <c r="E116" s="26" t="s">
        <v>100</v>
      </c>
      <c r="F116" s="19" t="s">
        <v>63</v>
      </c>
      <c r="G116" s="27">
        <v>1</v>
      </c>
      <c r="H116" s="26" t="s">
        <v>101</v>
      </c>
      <c r="I116" s="29">
        <v>1</v>
      </c>
      <c r="J116" s="26">
        <f>VLOOKUP(C:C,'4.几何拓扑逻辑检查'!D:J,7,FALSE)</f>
        <v>14838</v>
      </c>
      <c r="K116" s="26">
        <v>0</v>
      </c>
      <c r="L116" s="30">
        <f t="shared" si="2"/>
        <v>1</v>
      </c>
      <c r="M116" s="8" t="str">
        <f t="shared" si="3"/>
        <v>是</v>
      </c>
      <c r="N116" s="26"/>
    </row>
    <row r="117" spans="1:14">
      <c r="A117" s="26">
        <v>116</v>
      </c>
      <c r="B117" s="19">
        <v>10170</v>
      </c>
      <c r="C117" s="19" t="s">
        <v>179</v>
      </c>
      <c r="D117" s="19" t="s">
        <v>180</v>
      </c>
      <c r="E117" s="26" t="s">
        <v>100</v>
      </c>
      <c r="F117" s="19" t="s">
        <v>63</v>
      </c>
      <c r="G117" s="27">
        <v>1</v>
      </c>
      <c r="H117" s="26" t="s">
        <v>101</v>
      </c>
      <c r="I117" s="29">
        <v>1</v>
      </c>
      <c r="J117" s="26">
        <v>31675</v>
      </c>
      <c r="K117" s="26">
        <v>0</v>
      </c>
      <c r="L117" s="30">
        <f t="shared" si="2"/>
        <v>1</v>
      </c>
      <c r="M117" s="8" t="str">
        <f t="shared" si="3"/>
        <v>是</v>
      </c>
      <c r="N117" s="26"/>
    </row>
    <row r="118" spans="1:14">
      <c r="A118" s="26">
        <v>117</v>
      </c>
      <c r="B118" s="19">
        <v>10171</v>
      </c>
      <c r="C118" s="19" t="s">
        <v>179</v>
      </c>
      <c r="D118" s="19" t="s">
        <v>181</v>
      </c>
      <c r="E118" s="26" t="s">
        <v>100</v>
      </c>
      <c r="F118" s="19" t="s">
        <v>63</v>
      </c>
      <c r="G118" s="27">
        <v>1</v>
      </c>
      <c r="H118" s="26" t="s">
        <v>101</v>
      </c>
      <c r="I118" s="29">
        <v>1</v>
      </c>
      <c r="J118" s="26">
        <v>31675</v>
      </c>
      <c r="K118" s="26">
        <v>0</v>
      </c>
      <c r="L118" s="30">
        <f t="shared" si="2"/>
        <v>1</v>
      </c>
      <c r="M118" s="8" t="str">
        <f t="shared" si="3"/>
        <v>是</v>
      </c>
      <c r="N118" s="26"/>
    </row>
    <row r="119" spans="1:14">
      <c r="A119" s="26">
        <v>118</v>
      </c>
      <c r="B119" s="19">
        <v>10172</v>
      </c>
      <c r="C119" s="19" t="s">
        <v>179</v>
      </c>
      <c r="D119" s="19" t="s">
        <v>118</v>
      </c>
      <c r="E119" s="26" t="s">
        <v>100</v>
      </c>
      <c r="F119" s="19" t="s">
        <v>63</v>
      </c>
      <c r="G119" s="27">
        <v>1</v>
      </c>
      <c r="H119" s="26" t="s">
        <v>101</v>
      </c>
      <c r="I119" s="29">
        <v>1</v>
      </c>
      <c r="J119" s="26">
        <v>31675</v>
      </c>
      <c r="K119" s="26">
        <v>0</v>
      </c>
      <c r="L119" s="30">
        <f t="shared" si="2"/>
        <v>1</v>
      </c>
      <c r="M119" s="8" t="str">
        <f t="shared" si="3"/>
        <v>是</v>
      </c>
      <c r="N119" s="26"/>
    </row>
    <row r="120" spans="1:14">
      <c r="A120" s="26">
        <v>119</v>
      </c>
      <c r="B120" s="19">
        <v>10209</v>
      </c>
      <c r="C120" s="19" t="s">
        <v>182</v>
      </c>
      <c r="D120" s="19" t="s">
        <v>99</v>
      </c>
      <c r="E120" s="26" t="s">
        <v>100</v>
      </c>
      <c r="F120" s="19" t="s">
        <v>63</v>
      </c>
      <c r="G120" s="27">
        <v>1</v>
      </c>
      <c r="H120" s="26" t="s">
        <v>101</v>
      </c>
      <c r="I120" s="29">
        <v>1</v>
      </c>
      <c r="J120" s="26">
        <f>VLOOKUP(C:C,'4.几何拓扑逻辑检查'!D:J,7,FALSE)</f>
        <v>13937</v>
      </c>
      <c r="K120" s="26">
        <v>0</v>
      </c>
      <c r="L120" s="30">
        <f t="shared" si="2"/>
        <v>1</v>
      </c>
      <c r="M120" s="8" t="str">
        <f t="shared" si="3"/>
        <v>是</v>
      </c>
      <c r="N120" s="26"/>
    </row>
    <row r="121" ht="26" spans="1:14">
      <c r="A121" s="26">
        <v>120</v>
      </c>
      <c r="B121" s="19">
        <v>10210</v>
      </c>
      <c r="C121" s="19" t="s">
        <v>182</v>
      </c>
      <c r="D121" s="31" t="s">
        <v>183</v>
      </c>
      <c r="E121" s="26" t="s">
        <v>100</v>
      </c>
      <c r="F121" s="19" t="s">
        <v>63</v>
      </c>
      <c r="G121" s="27">
        <v>1</v>
      </c>
      <c r="H121" s="26" t="s">
        <v>101</v>
      </c>
      <c r="I121" s="29">
        <v>1</v>
      </c>
      <c r="J121" s="26">
        <f>VLOOKUP(C:C,'4.几何拓扑逻辑检查'!D:J,7,FALSE)</f>
        <v>13937</v>
      </c>
      <c r="K121" s="26">
        <v>0</v>
      </c>
      <c r="L121" s="30">
        <f t="shared" si="2"/>
        <v>1</v>
      </c>
      <c r="M121" s="8" t="str">
        <f t="shared" si="3"/>
        <v>是</v>
      </c>
      <c r="N121" s="26"/>
    </row>
    <row r="122" spans="1:14">
      <c r="A122" s="26">
        <v>121</v>
      </c>
      <c r="B122" s="19">
        <v>10211</v>
      </c>
      <c r="C122" s="19" t="s">
        <v>182</v>
      </c>
      <c r="D122" s="19" t="s">
        <v>184</v>
      </c>
      <c r="E122" s="26" t="s">
        <v>100</v>
      </c>
      <c r="F122" s="19" t="s">
        <v>63</v>
      </c>
      <c r="G122" s="27">
        <v>1</v>
      </c>
      <c r="H122" s="26" t="s">
        <v>101</v>
      </c>
      <c r="I122" s="29">
        <v>1</v>
      </c>
      <c r="J122" s="26">
        <f>VLOOKUP(C:C,'4.几何拓扑逻辑检查'!D:J,7,FALSE)</f>
        <v>13937</v>
      </c>
      <c r="K122" s="26">
        <v>0</v>
      </c>
      <c r="L122" s="30">
        <f t="shared" si="2"/>
        <v>1</v>
      </c>
      <c r="M122" s="8" t="str">
        <f t="shared" si="3"/>
        <v>是</v>
      </c>
      <c r="N122" s="26"/>
    </row>
    <row r="123" spans="1:14">
      <c r="A123" s="26">
        <v>122</v>
      </c>
      <c r="B123" s="19">
        <v>10212</v>
      </c>
      <c r="C123" s="19" t="s">
        <v>182</v>
      </c>
      <c r="D123" s="19" t="s">
        <v>120</v>
      </c>
      <c r="E123" s="26" t="s">
        <v>100</v>
      </c>
      <c r="F123" s="19" t="s">
        <v>63</v>
      </c>
      <c r="G123" s="27">
        <v>1</v>
      </c>
      <c r="H123" s="26" t="s">
        <v>101</v>
      </c>
      <c r="I123" s="29">
        <v>1</v>
      </c>
      <c r="J123" s="26">
        <f>VLOOKUP(C:C,'4.几何拓扑逻辑检查'!D:J,7,FALSE)</f>
        <v>13937</v>
      </c>
      <c r="K123" s="26">
        <v>0</v>
      </c>
      <c r="L123" s="30">
        <f t="shared" si="2"/>
        <v>1</v>
      </c>
      <c r="M123" s="8" t="str">
        <f t="shared" si="3"/>
        <v>是</v>
      </c>
      <c r="N123" s="26"/>
    </row>
    <row r="124" spans="1:14">
      <c r="A124" s="26">
        <v>123</v>
      </c>
      <c r="B124" s="19">
        <v>10213</v>
      </c>
      <c r="C124" s="19" t="s">
        <v>182</v>
      </c>
      <c r="D124" s="19" t="s">
        <v>185</v>
      </c>
      <c r="E124" s="26" t="s">
        <v>100</v>
      </c>
      <c r="F124" s="19" t="s">
        <v>63</v>
      </c>
      <c r="G124" s="27">
        <v>1</v>
      </c>
      <c r="H124" s="26" t="s">
        <v>101</v>
      </c>
      <c r="I124" s="29">
        <v>1</v>
      </c>
      <c r="J124" s="26">
        <f>VLOOKUP(C:C,'4.几何拓扑逻辑检查'!D:J,7,FALSE)</f>
        <v>13937</v>
      </c>
      <c r="K124" s="26">
        <v>0</v>
      </c>
      <c r="L124" s="30">
        <f t="shared" si="2"/>
        <v>1</v>
      </c>
      <c r="M124" s="8" t="str">
        <f t="shared" si="3"/>
        <v>是</v>
      </c>
      <c r="N124" s="26"/>
    </row>
    <row r="125" spans="1:14">
      <c r="A125" s="26">
        <v>124</v>
      </c>
      <c r="B125" s="19">
        <v>10214</v>
      </c>
      <c r="C125" s="19" t="s">
        <v>182</v>
      </c>
      <c r="D125" s="19" t="s">
        <v>186</v>
      </c>
      <c r="E125" s="26" t="s">
        <v>100</v>
      </c>
      <c r="F125" s="19" t="s">
        <v>63</v>
      </c>
      <c r="G125" s="27">
        <v>1</v>
      </c>
      <c r="H125" s="26" t="s">
        <v>101</v>
      </c>
      <c r="I125" s="29">
        <v>1</v>
      </c>
      <c r="J125" s="26">
        <f>VLOOKUP(C:C,'4.几何拓扑逻辑检查'!D:J,7,FALSE)</f>
        <v>13937</v>
      </c>
      <c r="K125" s="26">
        <v>0</v>
      </c>
      <c r="L125" s="30">
        <f t="shared" si="2"/>
        <v>1</v>
      </c>
      <c r="M125" s="8" t="str">
        <f t="shared" si="3"/>
        <v>是</v>
      </c>
      <c r="N125" s="26"/>
    </row>
    <row r="126" spans="1:14">
      <c r="A126" s="26">
        <v>125</v>
      </c>
      <c r="B126" s="19">
        <v>10215</v>
      </c>
      <c r="C126" s="19" t="s">
        <v>182</v>
      </c>
      <c r="D126" s="19" t="s">
        <v>187</v>
      </c>
      <c r="E126" s="26" t="s">
        <v>100</v>
      </c>
      <c r="F126" s="19" t="s">
        <v>63</v>
      </c>
      <c r="G126" s="27">
        <v>1</v>
      </c>
      <c r="H126" s="26" t="s">
        <v>101</v>
      </c>
      <c r="I126" s="29">
        <v>1</v>
      </c>
      <c r="J126" s="26">
        <f>VLOOKUP(C:C,'4.几何拓扑逻辑检查'!D:J,7,FALSE)</f>
        <v>13937</v>
      </c>
      <c r="K126" s="26">
        <v>0</v>
      </c>
      <c r="L126" s="30">
        <f t="shared" si="2"/>
        <v>1</v>
      </c>
      <c r="M126" s="8" t="str">
        <f t="shared" si="3"/>
        <v>是</v>
      </c>
      <c r="N126" s="26"/>
    </row>
    <row r="127" spans="1:14">
      <c r="A127" s="26">
        <v>126</v>
      </c>
      <c r="B127" s="19">
        <v>10217</v>
      </c>
      <c r="C127" s="19" t="s">
        <v>182</v>
      </c>
      <c r="D127" s="19" t="s">
        <v>188</v>
      </c>
      <c r="E127" s="26" t="s">
        <v>100</v>
      </c>
      <c r="F127" s="19" t="s">
        <v>63</v>
      </c>
      <c r="G127" s="27">
        <v>1</v>
      </c>
      <c r="H127" s="26" t="s">
        <v>101</v>
      </c>
      <c r="I127" s="29">
        <v>1</v>
      </c>
      <c r="J127" s="26">
        <f>VLOOKUP(C:C,'4.几何拓扑逻辑检查'!D:J,7,FALSE)</f>
        <v>13937</v>
      </c>
      <c r="K127" s="26">
        <v>0</v>
      </c>
      <c r="L127" s="30">
        <f t="shared" si="2"/>
        <v>1</v>
      </c>
      <c r="M127" s="8" t="str">
        <f t="shared" si="3"/>
        <v>是</v>
      </c>
      <c r="N127" s="26"/>
    </row>
    <row r="128" spans="1:14">
      <c r="A128" s="26">
        <v>127</v>
      </c>
      <c r="B128" s="19">
        <v>10218</v>
      </c>
      <c r="C128" s="19" t="s">
        <v>182</v>
      </c>
      <c r="D128" s="19" t="s">
        <v>118</v>
      </c>
      <c r="E128" s="26" t="s">
        <v>100</v>
      </c>
      <c r="F128" s="19" t="s">
        <v>63</v>
      </c>
      <c r="G128" s="27">
        <v>1</v>
      </c>
      <c r="H128" s="26" t="s">
        <v>101</v>
      </c>
      <c r="I128" s="29">
        <v>1</v>
      </c>
      <c r="J128" s="26">
        <f>VLOOKUP(C:C,'4.几何拓扑逻辑检查'!D:J,7,FALSE)</f>
        <v>13937</v>
      </c>
      <c r="K128" s="26">
        <v>0</v>
      </c>
      <c r="L128" s="30">
        <f t="shared" si="2"/>
        <v>1</v>
      </c>
      <c r="M128" s="8" t="str">
        <f t="shared" si="3"/>
        <v>是</v>
      </c>
      <c r="N128" s="26"/>
    </row>
    <row r="129" spans="1:14">
      <c r="A129" s="26">
        <v>128</v>
      </c>
      <c r="B129" s="19">
        <v>10219</v>
      </c>
      <c r="C129" s="19" t="s">
        <v>189</v>
      </c>
      <c r="D129" s="19" t="s">
        <v>190</v>
      </c>
      <c r="E129" s="26" t="s">
        <v>100</v>
      </c>
      <c r="F129" s="19" t="s">
        <v>63</v>
      </c>
      <c r="G129" s="27">
        <v>1</v>
      </c>
      <c r="H129" s="26" t="s">
        <v>101</v>
      </c>
      <c r="I129" s="29">
        <v>1</v>
      </c>
      <c r="J129" s="26">
        <f>VLOOKUP(C:C,'4.几何拓扑逻辑检查'!D:J,7,FALSE)</f>
        <v>14596</v>
      </c>
      <c r="K129" s="26">
        <v>0</v>
      </c>
      <c r="L129" s="30">
        <f t="shared" si="2"/>
        <v>1</v>
      </c>
      <c r="M129" s="8" t="str">
        <f t="shared" si="3"/>
        <v>是</v>
      </c>
      <c r="N129" s="26"/>
    </row>
    <row r="130" spans="1:14">
      <c r="A130" s="26">
        <v>129</v>
      </c>
      <c r="B130" s="19">
        <v>10220</v>
      </c>
      <c r="C130" s="19" t="s">
        <v>189</v>
      </c>
      <c r="D130" s="19" t="s">
        <v>191</v>
      </c>
      <c r="E130" s="26" t="s">
        <v>100</v>
      </c>
      <c r="F130" s="19" t="s">
        <v>63</v>
      </c>
      <c r="G130" s="27">
        <v>1</v>
      </c>
      <c r="H130" s="26" t="s">
        <v>101</v>
      </c>
      <c r="I130" s="29">
        <v>1</v>
      </c>
      <c r="J130" s="26">
        <f>VLOOKUP(C:C,'4.几何拓扑逻辑检查'!D:J,7,FALSE)</f>
        <v>14596</v>
      </c>
      <c r="K130" s="26">
        <v>0</v>
      </c>
      <c r="L130" s="30">
        <f t="shared" si="2"/>
        <v>1</v>
      </c>
      <c r="M130" s="8" t="str">
        <f t="shared" si="3"/>
        <v>是</v>
      </c>
      <c r="N130" s="26"/>
    </row>
    <row r="131" spans="1:14">
      <c r="A131" s="26">
        <v>130</v>
      </c>
      <c r="B131" s="19">
        <v>10221</v>
      </c>
      <c r="C131" s="19" t="s">
        <v>189</v>
      </c>
      <c r="D131" s="19" t="s">
        <v>118</v>
      </c>
      <c r="E131" s="26" t="s">
        <v>100</v>
      </c>
      <c r="F131" s="19" t="s">
        <v>63</v>
      </c>
      <c r="G131" s="27">
        <v>1</v>
      </c>
      <c r="H131" s="26" t="s">
        <v>101</v>
      </c>
      <c r="I131" s="29">
        <v>1</v>
      </c>
      <c r="J131" s="26">
        <f>VLOOKUP(C:C,'4.几何拓扑逻辑检查'!D:J,7,FALSE)</f>
        <v>14596</v>
      </c>
      <c r="K131" s="26">
        <v>0</v>
      </c>
      <c r="L131" s="30">
        <f t="shared" ref="L131:L194" si="4">1-K131/J131</f>
        <v>1</v>
      </c>
      <c r="M131" s="8" t="str">
        <f t="shared" ref="M131:M194" si="5">IF(L131&gt;=I131,"是","否")</f>
        <v>是</v>
      </c>
      <c r="N131" s="26"/>
    </row>
    <row r="132" spans="1:14">
      <c r="A132" s="26">
        <v>131</v>
      </c>
      <c r="B132" s="19">
        <v>10222</v>
      </c>
      <c r="C132" s="19" t="s">
        <v>98</v>
      </c>
      <c r="D132" s="19" t="s">
        <v>192</v>
      </c>
      <c r="E132" s="26" t="s">
        <v>100</v>
      </c>
      <c r="F132" s="19" t="s">
        <v>63</v>
      </c>
      <c r="G132" s="27">
        <v>1</v>
      </c>
      <c r="H132" s="26" t="s">
        <v>101</v>
      </c>
      <c r="I132" s="29">
        <v>1</v>
      </c>
      <c r="J132" s="26">
        <f>VLOOKUP(C:C,'4.几何拓扑逻辑检查'!D:J,7,FALSE)</f>
        <v>39625</v>
      </c>
      <c r="K132" s="26">
        <v>0</v>
      </c>
      <c r="L132" s="30">
        <f t="shared" si="4"/>
        <v>1</v>
      </c>
      <c r="M132" s="8" t="str">
        <f t="shared" si="5"/>
        <v>是</v>
      </c>
      <c r="N132" s="26"/>
    </row>
    <row r="133" spans="1:14">
      <c r="A133" s="26">
        <v>132</v>
      </c>
      <c r="B133" s="19">
        <v>10224</v>
      </c>
      <c r="C133" s="19" t="s">
        <v>119</v>
      </c>
      <c r="D133" s="19" t="s">
        <v>192</v>
      </c>
      <c r="E133" s="26" t="s">
        <v>100</v>
      </c>
      <c r="F133" s="19" t="s">
        <v>63</v>
      </c>
      <c r="G133" s="27">
        <v>1</v>
      </c>
      <c r="H133" s="26" t="s">
        <v>101</v>
      </c>
      <c r="I133" s="29">
        <v>1</v>
      </c>
      <c r="J133" s="26">
        <f>VLOOKUP(C:C,'4.几何拓扑逻辑检查'!D:J,7,FALSE)</f>
        <v>55050</v>
      </c>
      <c r="K133" s="26">
        <v>0</v>
      </c>
      <c r="L133" s="30">
        <f t="shared" si="4"/>
        <v>1</v>
      </c>
      <c r="M133" s="8" t="str">
        <f t="shared" si="5"/>
        <v>是</v>
      </c>
      <c r="N133" s="26"/>
    </row>
    <row r="134" spans="1:14">
      <c r="A134" s="26">
        <v>133</v>
      </c>
      <c r="B134" s="19">
        <v>10225</v>
      </c>
      <c r="C134" s="19" t="s">
        <v>126</v>
      </c>
      <c r="D134" s="19" t="s">
        <v>192</v>
      </c>
      <c r="E134" s="26" t="s">
        <v>100</v>
      </c>
      <c r="F134" s="19" t="s">
        <v>63</v>
      </c>
      <c r="G134" s="27">
        <v>1</v>
      </c>
      <c r="H134" s="26" t="s">
        <v>101</v>
      </c>
      <c r="I134" s="29">
        <v>1</v>
      </c>
      <c r="J134" s="26">
        <v>14435</v>
      </c>
      <c r="K134" s="26">
        <v>0</v>
      </c>
      <c r="L134" s="30">
        <f t="shared" si="4"/>
        <v>1</v>
      </c>
      <c r="M134" s="8" t="str">
        <f t="shared" si="5"/>
        <v>是</v>
      </c>
      <c r="N134" s="26"/>
    </row>
    <row r="135" spans="1:14">
      <c r="A135" s="26">
        <v>134</v>
      </c>
      <c r="B135" s="19">
        <v>10226</v>
      </c>
      <c r="C135" s="19" t="s">
        <v>130</v>
      </c>
      <c r="D135" s="19" t="s">
        <v>192</v>
      </c>
      <c r="E135" s="26" t="s">
        <v>100</v>
      </c>
      <c r="F135" s="19" t="s">
        <v>63</v>
      </c>
      <c r="G135" s="27">
        <v>1</v>
      </c>
      <c r="H135" s="26" t="s">
        <v>101</v>
      </c>
      <c r="I135" s="29">
        <v>1</v>
      </c>
      <c r="J135" s="26">
        <f>VLOOKUP(C:C,'4.几何拓扑逻辑检查'!D:J,7,FALSE)</f>
        <v>38442</v>
      </c>
      <c r="K135" s="26">
        <v>0</v>
      </c>
      <c r="L135" s="30">
        <f t="shared" si="4"/>
        <v>1</v>
      </c>
      <c r="M135" s="8" t="str">
        <f t="shared" si="5"/>
        <v>是</v>
      </c>
      <c r="N135" s="26"/>
    </row>
    <row r="136" spans="1:14">
      <c r="A136" s="26">
        <v>135</v>
      </c>
      <c r="B136" s="19">
        <v>10227</v>
      </c>
      <c r="C136" s="19" t="s">
        <v>135</v>
      </c>
      <c r="D136" s="19" t="s">
        <v>192</v>
      </c>
      <c r="E136" s="26" t="s">
        <v>100</v>
      </c>
      <c r="F136" s="19" t="s">
        <v>63</v>
      </c>
      <c r="G136" s="27">
        <v>1</v>
      </c>
      <c r="H136" s="26" t="s">
        <v>101</v>
      </c>
      <c r="I136" s="29">
        <v>1</v>
      </c>
      <c r="J136" s="26">
        <f>VLOOKUP(C:C,'4.几何拓扑逻辑检查'!D:J,7,FALSE)</f>
        <v>1872</v>
      </c>
      <c r="K136" s="26">
        <v>0</v>
      </c>
      <c r="L136" s="30">
        <f t="shared" si="4"/>
        <v>1</v>
      </c>
      <c r="M136" s="8" t="str">
        <f t="shared" si="5"/>
        <v>是</v>
      </c>
      <c r="N136" s="26"/>
    </row>
    <row r="137" spans="1:14">
      <c r="A137" s="26">
        <v>136</v>
      </c>
      <c r="B137" s="19">
        <v>10230</v>
      </c>
      <c r="C137" s="19" t="s">
        <v>137</v>
      </c>
      <c r="D137" s="19" t="s">
        <v>192</v>
      </c>
      <c r="E137" s="26" t="s">
        <v>100</v>
      </c>
      <c r="F137" s="19" t="s">
        <v>63</v>
      </c>
      <c r="G137" s="27">
        <v>1</v>
      </c>
      <c r="H137" s="26" t="s">
        <v>101</v>
      </c>
      <c r="I137" s="29">
        <v>1</v>
      </c>
      <c r="J137" s="26">
        <f>VLOOKUP(C:C,'4.几何拓扑逻辑检查'!D:J,7,FALSE)</f>
        <v>39676</v>
      </c>
      <c r="K137" s="26">
        <v>0</v>
      </c>
      <c r="L137" s="30">
        <f t="shared" si="4"/>
        <v>1</v>
      </c>
      <c r="M137" s="8" t="str">
        <f t="shared" si="5"/>
        <v>是</v>
      </c>
      <c r="N137" s="26"/>
    </row>
    <row r="138" spans="1:14">
      <c r="A138" s="26">
        <v>137</v>
      </c>
      <c r="B138" s="19">
        <v>10233</v>
      </c>
      <c r="C138" s="19" t="s">
        <v>144</v>
      </c>
      <c r="D138" s="19" t="s">
        <v>192</v>
      </c>
      <c r="E138" s="26" t="s">
        <v>100</v>
      </c>
      <c r="F138" s="19" t="s">
        <v>63</v>
      </c>
      <c r="G138" s="27">
        <v>1</v>
      </c>
      <c r="H138" s="26" t="s">
        <v>101</v>
      </c>
      <c r="I138" s="29">
        <v>1</v>
      </c>
      <c r="J138" s="26">
        <v>38</v>
      </c>
      <c r="K138" s="26">
        <v>0</v>
      </c>
      <c r="L138" s="30">
        <f t="shared" si="4"/>
        <v>1</v>
      </c>
      <c r="M138" s="8" t="str">
        <f t="shared" si="5"/>
        <v>是</v>
      </c>
      <c r="N138" s="26"/>
    </row>
    <row r="139" spans="1:14">
      <c r="A139" s="26">
        <v>138</v>
      </c>
      <c r="B139" s="19">
        <v>10234</v>
      </c>
      <c r="C139" s="19" t="s">
        <v>145</v>
      </c>
      <c r="D139" s="19" t="s">
        <v>192</v>
      </c>
      <c r="E139" s="26" t="s">
        <v>100</v>
      </c>
      <c r="F139" s="19" t="s">
        <v>63</v>
      </c>
      <c r="G139" s="27">
        <v>1</v>
      </c>
      <c r="H139" s="26" t="s">
        <v>101</v>
      </c>
      <c r="I139" s="29">
        <v>1</v>
      </c>
      <c r="J139" s="26">
        <f>VLOOKUP(C:C,'4.几何拓扑逻辑检查'!D:J,7,FALSE)</f>
        <v>17737</v>
      </c>
      <c r="K139" s="26">
        <v>0</v>
      </c>
      <c r="L139" s="30">
        <f t="shared" si="4"/>
        <v>1</v>
      </c>
      <c r="M139" s="8" t="str">
        <f t="shared" si="5"/>
        <v>是</v>
      </c>
      <c r="N139" s="26"/>
    </row>
    <row r="140" spans="1:14">
      <c r="A140" s="26">
        <v>139</v>
      </c>
      <c r="B140" s="19">
        <v>10235</v>
      </c>
      <c r="C140" s="19" t="s">
        <v>146</v>
      </c>
      <c r="D140" s="19" t="s">
        <v>192</v>
      </c>
      <c r="E140" s="26" t="s">
        <v>100</v>
      </c>
      <c r="F140" s="19" t="s">
        <v>63</v>
      </c>
      <c r="G140" s="27">
        <v>1</v>
      </c>
      <c r="H140" s="26" t="s">
        <v>101</v>
      </c>
      <c r="I140" s="29">
        <v>1</v>
      </c>
      <c r="J140" s="26">
        <f>VLOOKUP(C:C,'4.几何拓扑逻辑检查'!D:J,7,FALSE)</f>
        <v>36039</v>
      </c>
      <c r="K140" s="26">
        <v>0</v>
      </c>
      <c r="L140" s="30">
        <f t="shared" si="4"/>
        <v>1</v>
      </c>
      <c r="M140" s="8" t="str">
        <f t="shared" si="5"/>
        <v>是</v>
      </c>
      <c r="N140" s="26"/>
    </row>
    <row r="141" spans="1:14">
      <c r="A141" s="26">
        <v>140</v>
      </c>
      <c r="B141" s="19">
        <v>10236</v>
      </c>
      <c r="C141" s="19" t="s">
        <v>147</v>
      </c>
      <c r="D141" s="19" t="s">
        <v>192</v>
      </c>
      <c r="E141" s="26" t="s">
        <v>100</v>
      </c>
      <c r="F141" s="19" t="s">
        <v>63</v>
      </c>
      <c r="G141" s="27">
        <v>1</v>
      </c>
      <c r="H141" s="26" t="s">
        <v>101</v>
      </c>
      <c r="I141" s="29">
        <v>1</v>
      </c>
      <c r="J141" s="26">
        <f>VLOOKUP(C:C,'4.几何拓扑逻辑检查'!D:J,7,FALSE)</f>
        <v>15250</v>
      </c>
      <c r="K141" s="26">
        <v>0</v>
      </c>
      <c r="L141" s="30">
        <f t="shared" si="4"/>
        <v>1</v>
      </c>
      <c r="M141" s="8" t="str">
        <f t="shared" si="5"/>
        <v>是</v>
      </c>
      <c r="N141" s="26"/>
    </row>
    <row r="142" spans="1:14">
      <c r="A142" s="26">
        <v>141</v>
      </c>
      <c r="B142" s="19">
        <v>10237</v>
      </c>
      <c r="C142" s="19" t="s">
        <v>148</v>
      </c>
      <c r="D142" s="19" t="s">
        <v>192</v>
      </c>
      <c r="E142" s="26" t="s">
        <v>100</v>
      </c>
      <c r="F142" s="19" t="s">
        <v>63</v>
      </c>
      <c r="G142" s="27">
        <v>1</v>
      </c>
      <c r="H142" s="26" t="s">
        <v>101</v>
      </c>
      <c r="I142" s="29">
        <v>1</v>
      </c>
      <c r="J142" s="26">
        <v>1479</v>
      </c>
      <c r="K142" s="26">
        <v>0</v>
      </c>
      <c r="L142" s="30">
        <f t="shared" si="4"/>
        <v>1</v>
      </c>
      <c r="M142" s="8" t="str">
        <f t="shared" si="5"/>
        <v>是</v>
      </c>
      <c r="N142" s="26"/>
    </row>
    <row r="143" spans="1:14">
      <c r="A143" s="26">
        <v>142</v>
      </c>
      <c r="B143" s="19">
        <v>10240</v>
      </c>
      <c r="C143" s="19" t="s">
        <v>149</v>
      </c>
      <c r="D143" s="19" t="s">
        <v>192</v>
      </c>
      <c r="E143" s="26" t="s">
        <v>100</v>
      </c>
      <c r="F143" s="19" t="s">
        <v>63</v>
      </c>
      <c r="G143" s="27">
        <v>1</v>
      </c>
      <c r="H143" s="26" t="s">
        <v>101</v>
      </c>
      <c r="I143" s="29">
        <v>1</v>
      </c>
      <c r="J143" s="26">
        <v>608</v>
      </c>
      <c r="K143" s="26">
        <v>0</v>
      </c>
      <c r="L143" s="30">
        <f t="shared" si="4"/>
        <v>1</v>
      </c>
      <c r="M143" s="8" t="str">
        <f t="shared" si="5"/>
        <v>是</v>
      </c>
      <c r="N143" s="26"/>
    </row>
    <row r="144" spans="1:14">
      <c r="A144" s="26">
        <v>143</v>
      </c>
      <c r="B144" s="19">
        <v>10242</v>
      </c>
      <c r="C144" s="19" t="s">
        <v>151</v>
      </c>
      <c r="D144" s="19" t="s">
        <v>192</v>
      </c>
      <c r="E144" s="26" t="s">
        <v>100</v>
      </c>
      <c r="F144" s="19" t="s">
        <v>63</v>
      </c>
      <c r="G144" s="27">
        <v>1</v>
      </c>
      <c r="H144" s="26" t="s">
        <v>101</v>
      </c>
      <c r="I144" s="29">
        <v>1</v>
      </c>
      <c r="J144" s="26">
        <f>VLOOKUP(C:C,'4.几何拓扑逻辑检查'!D:J,7,FALSE)</f>
        <v>18111</v>
      </c>
      <c r="K144" s="26">
        <v>0</v>
      </c>
      <c r="L144" s="30">
        <f t="shared" si="4"/>
        <v>1</v>
      </c>
      <c r="M144" s="8" t="str">
        <f t="shared" si="5"/>
        <v>是</v>
      </c>
      <c r="N144" s="26"/>
    </row>
    <row r="145" spans="1:14">
      <c r="A145" s="26">
        <v>144</v>
      </c>
      <c r="B145" s="19">
        <v>10243</v>
      </c>
      <c r="C145" s="19" t="s">
        <v>153</v>
      </c>
      <c r="D145" s="19" t="s">
        <v>192</v>
      </c>
      <c r="E145" s="26" t="s">
        <v>100</v>
      </c>
      <c r="F145" s="19" t="s">
        <v>63</v>
      </c>
      <c r="G145" s="27">
        <v>1</v>
      </c>
      <c r="H145" s="26" t="s">
        <v>101</v>
      </c>
      <c r="I145" s="29">
        <v>1</v>
      </c>
      <c r="J145" s="26">
        <f>VLOOKUP(C:C,'4.几何拓扑逻辑检查'!D:J,7,FALSE)</f>
        <v>194834</v>
      </c>
      <c r="K145" s="26">
        <v>0</v>
      </c>
      <c r="L145" s="30">
        <f t="shared" si="4"/>
        <v>1</v>
      </c>
      <c r="M145" s="8" t="str">
        <f t="shared" si="5"/>
        <v>是</v>
      </c>
      <c r="N145" s="26"/>
    </row>
    <row r="146" spans="1:14">
      <c r="A146" s="26">
        <v>145</v>
      </c>
      <c r="B146" s="19">
        <v>10244</v>
      </c>
      <c r="C146" s="19" t="s">
        <v>162</v>
      </c>
      <c r="D146" s="19" t="s">
        <v>192</v>
      </c>
      <c r="E146" s="26" t="s">
        <v>100</v>
      </c>
      <c r="F146" s="19" t="s">
        <v>63</v>
      </c>
      <c r="G146" s="27">
        <v>1</v>
      </c>
      <c r="H146" s="26" t="s">
        <v>101</v>
      </c>
      <c r="I146" s="29">
        <v>1</v>
      </c>
      <c r="J146" s="26">
        <f>VLOOKUP(C:C,'4.几何拓扑逻辑检查'!D:J,7,FALSE)</f>
        <v>2098</v>
      </c>
      <c r="K146" s="26">
        <v>0</v>
      </c>
      <c r="L146" s="30">
        <f t="shared" si="4"/>
        <v>1</v>
      </c>
      <c r="M146" s="8" t="str">
        <f t="shared" si="5"/>
        <v>是</v>
      </c>
      <c r="N146" s="26"/>
    </row>
    <row r="147" spans="1:14">
      <c r="A147" s="26">
        <v>146</v>
      </c>
      <c r="B147" s="19">
        <v>10245</v>
      </c>
      <c r="C147" s="19" t="s">
        <v>164</v>
      </c>
      <c r="D147" s="19" t="s">
        <v>192</v>
      </c>
      <c r="E147" s="26" t="s">
        <v>100</v>
      </c>
      <c r="F147" s="19" t="s">
        <v>63</v>
      </c>
      <c r="G147" s="27">
        <v>1</v>
      </c>
      <c r="H147" s="26" t="s">
        <v>101</v>
      </c>
      <c r="I147" s="29">
        <v>1</v>
      </c>
      <c r="J147" s="26">
        <f>VLOOKUP(C:C,'4.几何拓扑逻辑检查'!D:J,7,FALSE)</f>
        <v>3462</v>
      </c>
      <c r="K147" s="26">
        <v>0</v>
      </c>
      <c r="L147" s="30">
        <f t="shared" si="4"/>
        <v>1</v>
      </c>
      <c r="M147" s="8" t="str">
        <f t="shared" si="5"/>
        <v>是</v>
      </c>
      <c r="N147" s="26"/>
    </row>
    <row r="148" spans="1:14">
      <c r="A148" s="26">
        <v>147</v>
      </c>
      <c r="B148" s="19">
        <v>10246</v>
      </c>
      <c r="C148" s="19" t="s">
        <v>165</v>
      </c>
      <c r="D148" s="19" t="s">
        <v>192</v>
      </c>
      <c r="E148" s="26" t="s">
        <v>100</v>
      </c>
      <c r="F148" s="19" t="s">
        <v>63</v>
      </c>
      <c r="G148" s="27">
        <v>1</v>
      </c>
      <c r="H148" s="26" t="s">
        <v>101</v>
      </c>
      <c r="I148" s="29">
        <v>1</v>
      </c>
      <c r="J148" s="26">
        <f>VLOOKUP(C:C,'4.几何拓扑逻辑检查'!D:J,7,FALSE)</f>
        <v>14777</v>
      </c>
      <c r="K148" s="26">
        <v>0</v>
      </c>
      <c r="L148" s="30">
        <f t="shared" si="4"/>
        <v>1</v>
      </c>
      <c r="M148" s="8" t="str">
        <f t="shared" si="5"/>
        <v>是</v>
      </c>
      <c r="N148" s="26"/>
    </row>
    <row r="149" spans="1:14">
      <c r="A149" s="26">
        <v>148</v>
      </c>
      <c r="B149" s="19">
        <v>10247</v>
      </c>
      <c r="C149" s="19" t="s">
        <v>178</v>
      </c>
      <c r="D149" s="19" t="s">
        <v>192</v>
      </c>
      <c r="E149" s="26" t="s">
        <v>100</v>
      </c>
      <c r="F149" s="19" t="s">
        <v>63</v>
      </c>
      <c r="G149" s="27">
        <v>1</v>
      </c>
      <c r="H149" s="26" t="s">
        <v>101</v>
      </c>
      <c r="I149" s="29">
        <v>1</v>
      </c>
      <c r="J149" s="26">
        <f>VLOOKUP(C:C,'4.几何拓扑逻辑检查'!D:J,7,FALSE)</f>
        <v>14838</v>
      </c>
      <c r="K149" s="26">
        <v>0</v>
      </c>
      <c r="L149" s="30">
        <f t="shared" si="4"/>
        <v>1</v>
      </c>
      <c r="M149" s="8" t="str">
        <f t="shared" si="5"/>
        <v>是</v>
      </c>
      <c r="N149" s="26"/>
    </row>
    <row r="150" spans="1:14">
      <c r="A150" s="26">
        <v>149</v>
      </c>
      <c r="B150" s="19">
        <v>10248</v>
      </c>
      <c r="C150" s="19" t="s">
        <v>179</v>
      </c>
      <c r="D150" s="19" t="s">
        <v>192</v>
      </c>
      <c r="E150" s="26" t="s">
        <v>100</v>
      </c>
      <c r="F150" s="19" t="s">
        <v>63</v>
      </c>
      <c r="G150" s="27">
        <v>1</v>
      </c>
      <c r="H150" s="26" t="s">
        <v>101</v>
      </c>
      <c r="I150" s="29">
        <v>1</v>
      </c>
      <c r="J150" s="26">
        <v>31675</v>
      </c>
      <c r="K150" s="26">
        <v>0</v>
      </c>
      <c r="L150" s="30">
        <f t="shared" si="4"/>
        <v>1</v>
      </c>
      <c r="M150" s="8" t="str">
        <f t="shared" si="5"/>
        <v>是</v>
      </c>
      <c r="N150" s="26"/>
    </row>
    <row r="151" spans="1:14">
      <c r="A151" s="26">
        <v>150</v>
      </c>
      <c r="B151" s="19">
        <v>10256</v>
      </c>
      <c r="C151" s="19" t="s">
        <v>182</v>
      </c>
      <c r="D151" s="19" t="s">
        <v>192</v>
      </c>
      <c r="E151" s="26" t="s">
        <v>100</v>
      </c>
      <c r="F151" s="19" t="s">
        <v>63</v>
      </c>
      <c r="G151" s="27">
        <v>1</v>
      </c>
      <c r="H151" s="26" t="s">
        <v>101</v>
      </c>
      <c r="I151" s="29">
        <v>1</v>
      </c>
      <c r="J151" s="26">
        <f>VLOOKUP(C:C,'4.几何拓扑逻辑检查'!D:J,7,FALSE)</f>
        <v>13937</v>
      </c>
      <c r="K151" s="26">
        <v>0</v>
      </c>
      <c r="L151" s="30">
        <f t="shared" si="4"/>
        <v>1</v>
      </c>
      <c r="M151" s="8" t="str">
        <f t="shared" si="5"/>
        <v>是</v>
      </c>
      <c r="N151" s="26"/>
    </row>
    <row r="152" spans="1:14">
      <c r="A152" s="26">
        <v>151</v>
      </c>
      <c r="B152" s="19">
        <v>10257</v>
      </c>
      <c r="C152" s="19" t="s">
        <v>189</v>
      </c>
      <c r="D152" s="19" t="s">
        <v>192</v>
      </c>
      <c r="E152" s="26" t="s">
        <v>100</v>
      </c>
      <c r="F152" s="19" t="s">
        <v>63</v>
      </c>
      <c r="G152" s="27">
        <v>1</v>
      </c>
      <c r="H152" s="26" t="s">
        <v>101</v>
      </c>
      <c r="I152" s="29">
        <v>1</v>
      </c>
      <c r="J152" s="26">
        <f>VLOOKUP(C:C,'4.几何拓扑逻辑检查'!D:J,7,FALSE)</f>
        <v>14596</v>
      </c>
      <c r="K152" s="26">
        <v>0</v>
      </c>
      <c r="L152" s="30">
        <f t="shared" si="4"/>
        <v>1</v>
      </c>
      <c r="M152" s="8" t="str">
        <f t="shared" si="5"/>
        <v>是</v>
      </c>
      <c r="N152" s="26"/>
    </row>
    <row r="153" spans="1:14">
      <c r="A153" s="26">
        <v>152</v>
      </c>
      <c r="B153" s="19">
        <v>10264</v>
      </c>
      <c r="C153" s="19" t="s">
        <v>193</v>
      </c>
      <c r="D153" s="19" t="s">
        <v>194</v>
      </c>
      <c r="E153" s="26" t="s">
        <v>100</v>
      </c>
      <c r="F153" s="19" t="s">
        <v>63</v>
      </c>
      <c r="G153" s="27">
        <v>1</v>
      </c>
      <c r="H153" s="26" t="s">
        <v>101</v>
      </c>
      <c r="I153" s="29">
        <v>1</v>
      </c>
      <c r="J153" s="26">
        <f>VLOOKUP(C:C,'4.几何拓扑逻辑检查'!D:J,7,FALSE)</f>
        <v>13088</v>
      </c>
      <c r="K153" s="26">
        <v>0</v>
      </c>
      <c r="L153" s="30">
        <f t="shared" si="4"/>
        <v>1</v>
      </c>
      <c r="M153" s="8" t="str">
        <f t="shared" si="5"/>
        <v>是</v>
      </c>
      <c r="N153" s="26"/>
    </row>
    <row r="154" spans="1:14">
      <c r="A154" s="26">
        <v>153</v>
      </c>
      <c r="B154" s="19">
        <v>10265</v>
      </c>
      <c r="C154" s="19" t="s">
        <v>193</v>
      </c>
      <c r="D154" s="19" t="s">
        <v>195</v>
      </c>
      <c r="E154" s="26" t="s">
        <v>100</v>
      </c>
      <c r="F154" s="19" t="s">
        <v>63</v>
      </c>
      <c r="G154" s="27">
        <v>1</v>
      </c>
      <c r="H154" s="26" t="s">
        <v>101</v>
      </c>
      <c r="I154" s="29">
        <v>1</v>
      </c>
      <c r="J154" s="26">
        <f>VLOOKUP(C:C,'4.几何拓扑逻辑检查'!D:J,7,FALSE)</f>
        <v>13088</v>
      </c>
      <c r="K154" s="26">
        <v>0</v>
      </c>
      <c r="L154" s="30">
        <f t="shared" si="4"/>
        <v>1</v>
      </c>
      <c r="M154" s="8" t="str">
        <f t="shared" si="5"/>
        <v>是</v>
      </c>
      <c r="N154" s="26"/>
    </row>
    <row r="155" spans="1:14">
      <c r="A155" s="26">
        <v>154</v>
      </c>
      <c r="B155" s="19">
        <v>10266</v>
      </c>
      <c r="C155" s="19" t="s">
        <v>193</v>
      </c>
      <c r="D155" s="19" t="s">
        <v>192</v>
      </c>
      <c r="E155" s="26" t="s">
        <v>100</v>
      </c>
      <c r="F155" s="19" t="s">
        <v>63</v>
      </c>
      <c r="G155" s="27">
        <v>1</v>
      </c>
      <c r="H155" s="26" t="s">
        <v>101</v>
      </c>
      <c r="I155" s="29">
        <v>1</v>
      </c>
      <c r="J155" s="26">
        <f>VLOOKUP(C:C,'4.几何拓扑逻辑检查'!D:J,7,FALSE)</f>
        <v>13088</v>
      </c>
      <c r="K155" s="26">
        <v>0</v>
      </c>
      <c r="L155" s="30">
        <f t="shared" si="4"/>
        <v>1</v>
      </c>
      <c r="M155" s="8" t="str">
        <f t="shared" si="5"/>
        <v>是</v>
      </c>
      <c r="N155" s="26"/>
    </row>
    <row r="156" spans="1:14">
      <c r="A156" s="26">
        <v>155</v>
      </c>
      <c r="B156" s="19">
        <v>10267</v>
      </c>
      <c r="C156" s="19" t="s">
        <v>193</v>
      </c>
      <c r="D156" s="19" t="s">
        <v>118</v>
      </c>
      <c r="E156" s="26" t="s">
        <v>100</v>
      </c>
      <c r="F156" s="19" t="s">
        <v>63</v>
      </c>
      <c r="G156" s="27">
        <v>1</v>
      </c>
      <c r="H156" s="26" t="s">
        <v>101</v>
      </c>
      <c r="I156" s="29">
        <v>1</v>
      </c>
      <c r="J156" s="26">
        <f>VLOOKUP(C:C,'4.几何拓扑逻辑检查'!D:J,7,FALSE)</f>
        <v>13088</v>
      </c>
      <c r="K156" s="26">
        <v>0</v>
      </c>
      <c r="L156" s="30">
        <f t="shared" si="4"/>
        <v>1</v>
      </c>
      <c r="M156" s="8" t="str">
        <f t="shared" si="5"/>
        <v>是</v>
      </c>
      <c r="N156" s="26"/>
    </row>
    <row r="157" spans="1:14">
      <c r="A157" s="26">
        <v>156</v>
      </c>
      <c r="B157" s="19">
        <v>10268</v>
      </c>
      <c r="C157" s="19" t="s">
        <v>144</v>
      </c>
      <c r="D157" s="19" t="s">
        <v>196</v>
      </c>
      <c r="E157" s="26" t="s">
        <v>100</v>
      </c>
      <c r="F157" s="19" t="s">
        <v>63</v>
      </c>
      <c r="G157" s="27">
        <v>1</v>
      </c>
      <c r="H157" s="26" t="s">
        <v>101</v>
      </c>
      <c r="I157" s="29">
        <v>1</v>
      </c>
      <c r="J157" s="26">
        <v>38</v>
      </c>
      <c r="K157" s="26">
        <v>0</v>
      </c>
      <c r="L157" s="30">
        <f t="shared" si="4"/>
        <v>1</v>
      </c>
      <c r="M157" s="8" t="str">
        <f t="shared" si="5"/>
        <v>是</v>
      </c>
      <c r="N157" s="26"/>
    </row>
    <row r="158" spans="1:14">
      <c r="A158" s="26">
        <v>157</v>
      </c>
      <c r="B158" s="19">
        <v>10269</v>
      </c>
      <c r="C158" s="19" t="s">
        <v>146</v>
      </c>
      <c r="D158" s="19" t="s">
        <v>196</v>
      </c>
      <c r="E158" s="26" t="s">
        <v>100</v>
      </c>
      <c r="F158" s="19" t="s">
        <v>63</v>
      </c>
      <c r="G158" s="27">
        <v>1</v>
      </c>
      <c r="H158" s="26" t="s">
        <v>101</v>
      </c>
      <c r="I158" s="29">
        <v>1</v>
      </c>
      <c r="J158" s="26">
        <f>VLOOKUP(C:C,'4.几何拓扑逻辑检查'!D:J,7,FALSE)</f>
        <v>36039</v>
      </c>
      <c r="K158" s="26">
        <v>0</v>
      </c>
      <c r="L158" s="30">
        <f t="shared" si="4"/>
        <v>1</v>
      </c>
      <c r="M158" s="8" t="str">
        <f t="shared" si="5"/>
        <v>是</v>
      </c>
      <c r="N158" s="26"/>
    </row>
    <row r="159" spans="1:14">
      <c r="A159" s="26">
        <v>158</v>
      </c>
      <c r="B159" s="19">
        <v>10270</v>
      </c>
      <c r="C159" s="19" t="s">
        <v>147</v>
      </c>
      <c r="D159" s="19" t="s">
        <v>196</v>
      </c>
      <c r="E159" s="26" t="s">
        <v>100</v>
      </c>
      <c r="F159" s="19" t="s">
        <v>63</v>
      </c>
      <c r="G159" s="27">
        <v>1</v>
      </c>
      <c r="H159" s="26" t="s">
        <v>101</v>
      </c>
      <c r="I159" s="29">
        <v>1</v>
      </c>
      <c r="J159" s="26">
        <f>VLOOKUP(C:C,'4.几何拓扑逻辑检查'!D:J,7,FALSE)</f>
        <v>15250</v>
      </c>
      <c r="K159" s="26">
        <v>0</v>
      </c>
      <c r="L159" s="30">
        <f t="shared" si="4"/>
        <v>1</v>
      </c>
      <c r="M159" s="8" t="str">
        <f t="shared" si="5"/>
        <v>是</v>
      </c>
      <c r="N159" s="26"/>
    </row>
    <row r="160" spans="1:14">
      <c r="A160" s="26">
        <v>159</v>
      </c>
      <c r="B160" s="19">
        <v>10271</v>
      </c>
      <c r="C160" s="19" t="s">
        <v>147</v>
      </c>
      <c r="D160" s="19" t="s">
        <v>196</v>
      </c>
      <c r="E160" s="26" t="s">
        <v>100</v>
      </c>
      <c r="F160" s="19" t="s">
        <v>63</v>
      </c>
      <c r="G160" s="27">
        <v>1</v>
      </c>
      <c r="H160" s="26" t="s">
        <v>101</v>
      </c>
      <c r="I160" s="29">
        <v>1</v>
      </c>
      <c r="J160" s="26">
        <f>VLOOKUP(C:C,'4.几何拓扑逻辑检查'!D:J,7,FALSE)</f>
        <v>15250</v>
      </c>
      <c r="K160" s="26">
        <v>0</v>
      </c>
      <c r="L160" s="30">
        <f t="shared" si="4"/>
        <v>1</v>
      </c>
      <c r="M160" s="8" t="str">
        <f t="shared" si="5"/>
        <v>是</v>
      </c>
      <c r="N160" s="26"/>
    </row>
    <row r="161" spans="1:14">
      <c r="A161" s="26">
        <v>160</v>
      </c>
      <c r="B161" s="19">
        <v>10273</v>
      </c>
      <c r="C161" s="19" t="s">
        <v>147</v>
      </c>
      <c r="D161" s="19" t="s">
        <v>196</v>
      </c>
      <c r="E161" s="26" t="s">
        <v>100</v>
      </c>
      <c r="F161" s="19" t="s">
        <v>63</v>
      </c>
      <c r="G161" s="27">
        <v>1</v>
      </c>
      <c r="H161" s="26" t="s">
        <v>101</v>
      </c>
      <c r="I161" s="29">
        <v>1</v>
      </c>
      <c r="J161" s="26">
        <f>VLOOKUP(C:C,'4.几何拓扑逻辑检查'!D:J,7,FALSE)</f>
        <v>15250</v>
      </c>
      <c r="K161" s="26">
        <v>0</v>
      </c>
      <c r="L161" s="30">
        <f t="shared" si="4"/>
        <v>1</v>
      </c>
      <c r="M161" s="8" t="str">
        <f t="shared" si="5"/>
        <v>是</v>
      </c>
      <c r="N161" s="26"/>
    </row>
    <row r="162" spans="1:14">
      <c r="A162" s="26">
        <v>161</v>
      </c>
      <c r="B162" s="19">
        <v>10274</v>
      </c>
      <c r="C162" s="19" t="s">
        <v>147</v>
      </c>
      <c r="D162" s="19" t="s">
        <v>122</v>
      </c>
      <c r="E162" s="26" t="s">
        <v>100</v>
      </c>
      <c r="F162" s="19" t="s">
        <v>63</v>
      </c>
      <c r="G162" s="27">
        <v>1</v>
      </c>
      <c r="H162" s="26" t="s">
        <v>101</v>
      </c>
      <c r="I162" s="29">
        <v>1</v>
      </c>
      <c r="J162" s="26">
        <f>VLOOKUP(C:C,'4.几何拓扑逻辑检查'!D:J,7,FALSE)</f>
        <v>15250</v>
      </c>
      <c r="K162" s="26">
        <v>0</v>
      </c>
      <c r="L162" s="30">
        <f t="shared" si="4"/>
        <v>1</v>
      </c>
      <c r="M162" s="8" t="str">
        <f t="shared" si="5"/>
        <v>是</v>
      </c>
      <c r="N162" s="26"/>
    </row>
    <row r="163" spans="1:14">
      <c r="A163" s="26">
        <v>162</v>
      </c>
      <c r="B163" s="19">
        <v>10280</v>
      </c>
      <c r="C163" s="19" t="s">
        <v>151</v>
      </c>
      <c r="D163" s="19" t="s">
        <v>196</v>
      </c>
      <c r="E163" s="26" t="s">
        <v>100</v>
      </c>
      <c r="F163" s="19" t="s">
        <v>63</v>
      </c>
      <c r="G163" s="27">
        <v>1</v>
      </c>
      <c r="H163" s="26" t="s">
        <v>101</v>
      </c>
      <c r="I163" s="29">
        <v>1</v>
      </c>
      <c r="J163" s="26">
        <f>VLOOKUP(C:C,'4.几何拓扑逻辑检查'!D:J,7,FALSE)</f>
        <v>18111</v>
      </c>
      <c r="K163" s="26">
        <v>0</v>
      </c>
      <c r="L163" s="30">
        <f t="shared" si="4"/>
        <v>1</v>
      </c>
      <c r="M163" s="8" t="str">
        <f t="shared" si="5"/>
        <v>是</v>
      </c>
      <c r="N163" s="26"/>
    </row>
    <row r="164" spans="1:14">
      <c r="A164" s="26">
        <v>163</v>
      </c>
      <c r="B164" s="19">
        <v>10281</v>
      </c>
      <c r="C164" s="19" t="s">
        <v>151</v>
      </c>
      <c r="D164" s="19" t="s">
        <v>196</v>
      </c>
      <c r="E164" s="26" t="s">
        <v>100</v>
      </c>
      <c r="F164" s="19" t="s">
        <v>63</v>
      </c>
      <c r="G164" s="27">
        <v>1</v>
      </c>
      <c r="H164" s="26" t="s">
        <v>101</v>
      </c>
      <c r="I164" s="29">
        <v>1</v>
      </c>
      <c r="J164" s="26">
        <f>VLOOKUP(C:C,'4.几何拓扑逻辑检查'!D:J,7,FALSE)</f>
        <v>18111</v>
      </c>
      <c r="K164" s="26">
        <v>0</v>
      </c>
      <c r="L164" s="30">
        <f t="shared" si="4"/>
        <v>1</v>
      </c>
      <c r="M164" s="8" t="str">
        <f t="shared" si="5"/>
        <v>是</v>
      </c>
      <c r="N164" s="26"/>
    </row>
    <row r="165" spans="1:14">
      <c r="A165" s="26">
        <v>164</v>
      </c>
      <c r="B165" s="19">
        <v>10282</v>
      </c>
      <c r="C165" s="19" t="s">
        <v>151</v>
      </c>
      <c r="D165" s="19" t="s">
        <v>196</v>
      </c>
      <c r="E165" s="26" t="s">
        <v>100</v>
      </c>
      <c r="F165" s="19" t="s">
        <v>63</v>
      </c>
      <c r="G165" s="27">
        <v>1</v>
      </c>
      <c r="H165" s="26" t="s">
        <v>101</v>
      </c>
      <c r="I165" s="29">
        <v>1</v>
      </c>
      <c r="J165" s="26">
        <f>VLOOKUP(C:C,'4.几何拓扑逻辑检查'!D:J,7,FALSE)</f>
        <v>18111</v>
      </c>
      <c r="K165" s="26">
        <v>0</v>
      </c>
      <c r="L165" s="30">
        <f t="shared" si="4"/>
        <v>1</v>
      </c>
      <c r="M165" s="8" t="str">
        <f t="shared" si="5"/>
        <v>是</v>
      </c>
      <c r="N165" s="26"/>
    </row>
    <row r="166" spans="1:14">
      <c r="A166" s="26">
        <v>165</v>
      </c>
      <c r="B166" s="19">
        <v>10283</v>
      </c>
      <c r="C166" s="19" t="s">
        <v>151</v>
      </c>
      <c r="D166" s="19" t="s">
        <v>196</v>
      </c>
      <c r="E166" s="26" t="s">
        <v>100</v>
      </c>
      <c r="F166" s="19" t="s">
        <v>63</v>
      </c>
      <c r="G166" s="27">
        <v>1</v>
      </c>
      <c r="H166" s="26" t="s">
        <v>101</v>
      </c>
      <c r="I166" s="29">
        <v>1</v>
      </c>
      <c r="J166" s="26">
        <f>VLOOKUP(C:C,'4.几何拓扑逻辑检查'!D:J,7,FALSE)</f>
        <v>18111</v>
      </c>
      <c r="K166" s="26">
        <v>0</v>
      </c>
      <c r="L166" s="30">
        <f t="shared" si="4"/>
        <v>1</v>
      </c>
      <c r="M166" s="8" t="str">
        <f t="shared" si="5"/>
        <v>是</v>
      </c>
      <c r="N166" s="26"/>
    </row>
    <row r="167" spans="1:14">
      <c r="A167" s="26">
        <v>166</v>
      </c>
      <c r="B167" s="19">
        <v>10284</v>
      </c>
      <c r="C167" s="19" t="s">
        <v>151</v>
      </c>
      <c r="D167" s="19" t="s">
        <v>196</v>
      </c>
      <c r="E167" s="26" t="s">
        <v>100</v>
      </c>
      <c r="F167" s="19" t="s">
        <v>63</v>
      </c>
      <c r="G167" s="27">
        <v>1</v>
      </c>
      <c r="H167" s="26" t="s">
        <v>101</v>
      </c>
      <c r="I167" s="29">
        <v>1</v>
      </c>
      <c r="J167" s="26">
        <f>VLOOKUP(C:C,'4.几何拓扑逻辑检查'!D:J,7,FALSE)</f>
        <v>18111</v>
      </c>
      <c r="K167" s="26">
        <v>0</v>
      </c>
      <c r="L167" s="30">
        <f t="shared" si="4"/>
        <v>1</v>
      </c>
      <c r="M167" s="8" t="str">
        <f t="shared" si="5"/>
        <v>是</v>
      </c>
      <c r="N167" s="26"/>
    </row>
    <row r="168" spans="1:14">
      <c r="A168" s="26">
        <v>167</v>
      </c>
      <c r="B168" s="19">
        <v>10285</v>
      </c>
      <c r="C168" s="19" t="s">
        <v>151</v>
      </c>
      <c r="D168" s="19" t="s">
        <v>196</v>
      </c>
      <c r="E168" s="26" t="s">
        <v>100</v>
      </c>
      <c r="F168" s="19" t="s">
        <v>63</v>
      </c>
      <c r="G168" s="27">
        <v>1</v>
      </c>
      <c r="H168" s="26" t="s">
        <v>101</v>
      </c>
      <c r="I168" s="29">
        <v>1</v>
      </c>
      <c r="J168" s="26">
        <f>VLOOKUP(C:C,'4.几何拓扑逻辑检查'!D:J,7,FALSE)</f>
        <v>18111</v>
      </c>
      <c r="K168" s="26">
        <v>0</v>
      </c>
      <c r="L168" s="30">
        <f t="shared" si="4"/>
        <v>1</v>
      </c>
      <c r="M168" s="8" t="str">
        <f t="shared" si="5"/>
        <v>是</v>
      </c>
      <c r="N168" s="26"/>
    </row>
    <row r="169" spans="1:14">
      <c r="A169" s="26">
        <v>168</v>
      </c>
      <c r="B169" s="19">
        <v>10286</v>
      </c>
      <c r="C169" s="19" t="s">
        <v>151</v>
      </c>
      <c r="D169" s="19" t="s">
        <v>196</v>
      </c>
      <c r="E169" s="26" t="s">
        <v>100</v>
      </c>
      <c r="F169" s="19" t="s">
        <v>63</v>
      </c>
      <c r="G169" s="27">
        <v>1</v>
      </c>
      <c r="H169" s="26" t="s">
        <v>101</v>
      </c>
      <c r="I169" s="29">
        <v>1</v>
      </c>
      <c r="J169" s="26">
        <f>VLOOKUP(C:C,'4.几何拓扑逻辑检查'!D:J,7,FALSE)</f>
        <v>18111</v>
      </c>
      <c r="K169" s="26">
        <v>0</v>
      </c>
      <c r="L169" s="30">
        <f t="shared" si="4"/>
        <v>1</v>
      </c>
      <c r="M169" s="8" t="str">
        <f t="shared" si="5"/>
        <v>是</v>
      </c>
      <c r="N169" s="26"/>
    </row>
    <row r="170" spans="1:14">
      <c r="A170" s="26">
        <v>169</v>
      </c>
      <c r="B170" s="19">
        <v>10287</v>
      </c>
      <c r="C170" s="19" t="s">
        <v>151</v>
      </c>
      <c r="D170" s="19" t="s">
        <v>196</v>
      </c>
      <c r="E170" s="26" t="s">
        <v>100</v>
      </c>
      <c r="F170" s="19" t="s">
        <v>63</v>
      </c>
      <c r="G170" s="27">
        <v>1</v>
      </c>
      <c r="H170" s="26" t="s">
        <v>101</v>
      </c>
      <c r="I170" s="29">
        <v>1</v>
      </c>
      <c r="J170" s="26">
        <f>VLOOKUP(C:C,'4.几何拓扑逻辑检查'!D:J,7,FALSE)</f>
        <v>18111</v>
      </c>
      <c r="K170" s="26">
        <v>0</v>
      </c>
      <c r="L170" s="30">
        <f t="shared" si="4"/>
        <v>1</v>
      </c>
      <c r="M170" s="8" t="str">
        <f t="shared" si="5"/>
        <v>是</v>
      </c>
      <c r="N170" s="26"/>
    </row>
    <row r="171" spans="1:14">
      <c r="A171" s="26">
        <v>170</v>
      </c>
      <c r="B171" s="19">
        <v>10288</v>
      </c>
      <c r="C171" s="19" t="s">
        <v>151</v>
      </c>
      <c r="D171" s="19" t="s">
        <v>196</v>
      </c>
      <c r="E171" s="26" t="s">
        <v>100</v>
      </c>
      <c r="F171" s="19" t="s">
        <v>63</v>
      </c>
      <c r="G171" s="27">
        <v>1</v>
      </c>
      <c r="H171" s="26" t="s">
        <v>101</v>
      </c>
      <c r="I171" s="29">
        <v>1</v>
      </c>
      <c r="J171" s="26">
        <f>VLOOKUP(C:C,'4.几何拓扑逻辑检查'!D:J,7,FALSE)</f>
        <v>18111</v>
      </c>
      <c r="K171" s="26">
        <v>0</v>
      </c>
      <c r="L171" s="30">
        <f t="shared" si="4"/>
        <v>1</v>
      </c>
      <c r="M171" s="8" t="str">
        <f t="shared" si="5"/>
        <v>是</v>
      </c>
      <c r="N171" s="26"/>
    </row>
    <row r="172" spans="1:14">
      <c r="A172" s="26">
        <v>171</v>
      </c>
      <c r="B172" s="19">
        <v>10289</v>
      </c>
      <c r="C172" s="19" t="s">
        <v>151</v>
      </c>
      <c r="D172" s="19" t="s">
        <v>196</v>
      </c>
      <c r="E172" s="26" t="s">
        <v>100</v>
      </c>
      <c r="F172" s="19" t="s">
        <v>63</v>
      </c>
      <c r="G172" s="27">
        <v>1</v>
      </c>
      <c r="H172" s="26" t="s">
        <v>101</v>
      </c>
      <c r="I172" s="29">
        <v>1</v>
      </c>
      <c r="J172" s="26">
        <f>VLOOKUP(C:C,'4.几何拓扑逻辑检查'!D:J,7,FALSE)</f>
        <v>18111</v>
      </c>
      <c r="K172" s="26">
        <v>0</v>
      </c>
      <c r="L172" s="30">
        <f t="shared" si="4"/>
        <v>1</v>
      </c>
      <c r="M172" s="8" t="str">
        <f t="shared" si="5"/>
        <v>是</v>
      </c>
      <c r="N172" s="26"/>
    </row>
    <row r="173" spans="1:14">
      <c r="A173" s="26">
        <v>172</v>
      </c>
      <c r="B173" s="19">
        <v>10290</v>
      </c>
      <c r="C173" s="19" t="s">
        <v>151</v>
      </c>
      <c r="D173" s="19" t="s">
        <v>196</v>
      </c>
      <c r="E173" s="26" t="s">
        <v>100</v>
      </c>
      <c r="F173" s="19" t="s">
        <v>63</v>
      </c>
      <c r="G173" s="27">
        <v>1</v>
      </c>
      <c r="H173" s="26" t="s">
        <v>101</v>
      </c>
      <c r="I173" s="29">
        <v>1</v>
      </c>
      <c r="J173" s="26">
        <f>VLOOKUP(C:C,'4.几何拓扑逻辑检查'!D:J,7,FALSE)</f>
        <v>18111</v>
      </c>
      <c r="K173" s="26">
        <v>0</v>
      </c>
      <c r="L173" s="30">
        <f t="shared" si="4"/>
        <v>1</v>
      </c>
      <c r="M173" s="8" t="str">
        <f t="shared" si="5"/>
        <v>是</v>
      </c>
      <c r="N173" s="26"/>
    </row>
    <row r="174" spans="1:14">
      <c r="A174" s="26">
        <v>173</v>
      </c>
      <c r="B174" s="19">
        <v>10292</v>
      </c>
      <c r="C174" s="19" t="s">
        <v>147</v>
      </c>
      <c r="D174" s="19" t="s">
        <v>196</v>
      </c>
      <c r="E174" s="26" t="s">
        <v>100</v>
      </c>
      <c r="F174" s="19" t="s">
        <v>63</v>
      </c>
      <c r="G174" s="27">
        <v>1</v>
      </c>
      <c r="H174" s="26" t="s">
        <v>101</v>
      </c>
      <c r="I174" s="29">
        <v>1</v>
      </c>
      <c r="J174" s="26">
        <f>VLOOKUP(C:C,'4.几何拓扑逻辑检查'!D:J,7,FALSE)</f>
        <v>15250</v>
      </c>
      <c r="K174" s="26">
        <v>0</v>
      </c>
      <c r="L174" s="30">
        <f t="shared" si="4"/>
        <v>1</v>
      </c>
      <c r="M174" s="8" t="str">
        <f t="shared" si="5"/>
        <v>是</v>
      </c>
      <c r="N174" s="26"/>
    </row>
    <row r="175" spans="1:14">
      <c r="A175" s="26">
        <v>174</v>
      </c>
      <c r="B175" s="19">
        <v>10293</v>
      </c>
      <c r="C175" s="19" t="s">
        <v>148</v>
      </c>
      <c r="D175" s="19" t="s">
        <v>196</v>
      </c>
      <c r="E175" s="26" t="s">
        <v>100</v>
      </c>
      <c r="F175" s="19" t="s">
        <v>63</v>
      </c>
      <c r="G175" s="27">
        <v>1</v>
      </c>
      <c r="H175" s="26" t="s">
        <v>101</v>
      </c>
      <c r="I175" s="29">
        <v>1</v>
      </c>
      <c r="J175" s="26">
        <v>1479</v>
      </c>
      <c r="K175" s="26">
        <v>0</v>
      </c>
      <c r="L175" s="30">
        <f t="shared" si="4"/>
        <v>1</v>
      </c>
      <c r="M175" s="8" t="str">
        <f t="shared" si="5"/>
        <v>是</v>
      </c>
      <c r="N175" s="26"/>
    </row>
    <row r="176" spans="1:14">
      <c r="A176" s="26">
        <v>175</v>
      </c>
      <c r="B176" s="19">
        <v>10294</v>
      </c>
      <c r="C176" s="20" t="s">
        <v>165</v>
      </c>
      <c r="D176" s="20" t="s">
        <v>197</v>
      </c>
      <c r="E176" s="26" t="s">
        <v>100</v>
      </c>
      <c r="F176" s="19" t="s">
        <v>63</v>
      </c>
      <c r="G176" s="27">
        <v>1</v>
      </c>
      <c r="H176" s="26" t="s">
        <v>101</v>
      </c>
      <c r="I176" s="29">
        <v>1</v>
      </c>
      <c r="J176" s="26">
        <f>VLOOKUP(C:C,'4.几何拓扑逻辑检查'!D:J,7,FALSE)</f>
        <v>14777</v>
      </c>
      <c r="K176" s="26">
        <v>0</v>
      </c>
      <c r="L176" s="30">
        <f t="shared" si="4"/>
        <v>1</v>
      </c>
      <c r="M176" s="8" t="str">
        <f t="shared" si="5"/>
        <v>是</v>
      </c>
      <c r="N176" s="26"/>
    </row>
    <row r="177" spans="1:14">
      <c r="A177" s="26">
        <v>176</v>
      </c>
      <c r="B177" s="19">
        <v>10295</v>
      </c>
      <c r="C177" s="20" t="s">
        <v>182</v>
      </c>
      <c r="D177" s="20" t="s">
        <v>198</v>
      </c>
      <c r="E177" s="26" t="s">
        <v>100</v>
      </c>
      <c r="F177" s="19" t="s">
        <v>63</v>
      </c>
      <c r="G177" s="27">
        <v>1</v>
      </c>
      <c r="H177" s="26" t="s">
        <v>101</v>
      </c>
      <c r="I177" s="29">
        <v>1</v>
      </c>
      <c r="J177" s="26">
        <f>VLOOKUP(C:C,'4.几何拓扑逻辑检查'!D:J,7,FALSE)</f>
        <v>13937</v>
      </c>
      <c r="K177" s="26">
        <v>0</v>
      </c>
      <c r="L177" s="30">
        <f t="shared" si="4"/>
        <v>1</v>
      </c>
      <c r="M177" s="8" t="str">
        <f t="shared" si="5"/>
        <v>是</v>
      </c>
      <c r="N177" s="26"/>
    </row>
    <row r="178" spans="1:14">
      <c r="A178" s="26">
        <v>177</v>
      </c>
      <c r="B178" s="19">
        <v>10296</v>
      </c>
      <c r="C178" s="20" t="s">
        <v>98</v>
      </c>
      <c r="D178" s="20" t="s">
        <v>199</v>
      </c>
      <c r="E178" s="26" t="s">
        <v>100</v>
      </c>
      <c r="F178" s="19" t="s">
        <v>63</v>
      </c>
      <c r="G178" s="27">
        <v>1</v>
      </c>
      <c r="H178" s="26" t="s">
        <v>101</v>
      </c>
      <c r="I178" s="29">
        <v>1</v>
      </c>
      <c r="J178" s="26">
        <f>VLOOKUP(C:C,'4.几何拓扑逻辑检查'!D:J,7,FALSE)</f>
        <v>39625</v>
      </c>
      <c r="K178" s="26">
        <v>0</v>
      </c>
      <c r="L178" s="30">
        <f t="shared" si="4"/>
        <v>1</v>
      </c>
      <c r="M178" s="8" t="str">
        <f t="shared" si="5"/>
        <v>是</v>
      </c>
      <c r="N178" s="26"/>
    </row>
    <row r="179" spans="1:14">
      <c r="A179" s="26">
        <v>178</v>
      </c>
      <c r="B179" s="19">
        <v>10297</v>
      </c>
      <c r="C179" s="20" t="s">
        <v>98</v>
      </c>
      <c r="D179" s="20" t="s">
        <v>200</v>
      </c>
      <c r="E179" s="26" t="s">
        <v>100</v>
      </c>
      <c r="F179" s="19" t="s">
        <v>63</v>
      </c>
      <c r="G179" s="27">
        <v>1</v>
      </c>
      <c r="H179" s="26" t="s">
        <v>101</v>
      </c>
      <c r="I179" s="29">
        <v>1</v>
      </c>
      <c r="J179" s="26">
        <f>VLOOKUP(C:C,'4.几何拓扑逻辑检查'!D:J,7,FALSE)</f>
        <v>39625</v>
      </c>
      <c r="K179" s="26">
        <v>0</v>
      </c>
      <c r="L179" s="30">
        <f t="shared" si="4"/>
        <v>1</v>
      </c>
      <c r="M179" s="8" t="str">
        <f t="shared" si="5"/>
        <v>是</v>
      </c>
      <c r="N179" s="26"/>
    </row>
    <row r="180" spans="1:14">
      <c r="A180" s="26">
        <v>179</v>
      </c>
      <c r="B180" s="19">
        <v>10298</v>
      </c>
      <c r="C180" s="20" t="s">
        <v>98</v>
      </c>
      <c r="D180" s="20" t="s">
        <v>201</v>
      </c>
      <c r="E180" s="26" t="s">
        <v>100</v>
      </c>
      <c r="F180" s="19" t="s">
        <v>63</v>
      </c>
      <c r="G180" s="27">
        <v>1</v>
      </c>
      <c r="H180" s="26" t="s">
        <v>101</v>
      </c>
      <c r="I180" s="29">
        <v>1</v>
      </c>
      <c r="J180" s="26">
        <f>VLOOKUP(C:C,'4.几何拓扑逻辑检查'!D:J,7,FALSE)</f>
        <v>39625</v>
      </c>
      <c r="K180" s="26">
        <v>0</v>
      </c>
      <c r="L180" s="30">
        <f t="shared" si="4"/>
        <v>1</v>
      </c>
      <c r="M180" s="8" t="str">
        <f t="shared" si="5"/>
        <v>是</v>
      </c>
      <c r="N180" s="26"/>
    </row>
    <row r="181" spans="1:14">
      <c r="A181" s="26">
        <v>180</v>
      </c>
      <c r="B181" s="19">
        <v>10299</v>
      </c>
      <c r="C181" s="19" t="s">
        <v>147</v>
      </c>
      <c r="D181" s="19" t="s">
        <v>196</v>
      </c>
      <c r="E181" s="26" t="s">
        <v>100</v>
      </c>
      <c r="F181" s="19" t="s">
        <v>63</v>
      </c>
      <c r="G181" s="27">
        <v>1</v>
      </c>
      <c r="H181" s="26" t="s">
        <v>101</v>
      </c>
      <c r="I181" s="29">
        <v>1</v>
      </c>
      <c r="J181" s="26">
        <f>VLOOKUP(C:C,'4.几何拓扑逻辑检查'!D:J,7,FALSE)</f>
        <v>15250</v>
      </c>
      <c r="K181" s="26">
        <v>0</v>
      </c>
      <c r="L181" s="30">
        <f t="shared" si="4"/>
        <v>1</v>
      </c>
      <c r="M181" s="8" t="str">
        <f t="shared" si="5"/>
        <v>是</v>
      </c>
      <c r="N181" s="26"/>
    </row>
    <row r="182" spans="1:14">
      <c r="A182" s="26">
        <v>181</v>
      </c>
      <c r="B182" s="19">
        <v>10300</v>
      </c>
      <c r="C182" s="20" t="s">
        <v>98</v>
      </c>
      <c r="D182" s="20" t="s">
        <v>202</v>
      </c>
      <c r="E182" s="26" t="s">
        <v>100</v>
      </c>
      <c r="F182" s="19" t="s">
        <v>63</v>
      </c>
      <c r="G182" s="27">
        <v>1</v>
      </c>
      <c r="H182" s="26" t="s">
        <v>101</v>
      </c>
      <c r="I182" s="29">
        <v>1</v>
      </c>
      <c r="J182" s="26">
        <f>VLOOKUP(C:C,'4.几何拓扑逻辑检查'!D:J,7,FALSE)</f>
        <v>39625</v>
      </c>
      <c r="K182" s="26">
        <v>0</v>
      </c>
      <c r="L182" s="30">
        <f t="shared" si="4"/>
        <v>1</v>
      </c>
      <c r="M182" s="8" t="str">
        <f t="shared" si="5"/>
        <v>是</v>
      </c>
      <c r="N182" s="26"/>
    </row>
    <row r="183" spans="1:14">
      <c r="A183" s="26">
        <v>182</v>
      </c>
      <c r="B183" s="19">
        <v>10301</v>
      </c>
      <c r="C183" s="20" t="s">
        <v>98</v>
      </c>
      <c r="D183" s="19" t="s">
        <v>203</v>
      </c>
      <c r="E183" s="26" t="s">
        <v>100</v>
      </c>
      <c r="F183" s="19" t="s">
        <v>63</v>
      </c>
      <c r="G183" s="27">
        <v>1</v>
      </c>
      <c r="H183" s="26" t="s">
        <v>101</v>
      </c>
      <c r="I183" s="29">
        <v>1</v>
      </c>
      <c r="J183" s="26">
        <f>VLOOKUP(C:C,'4.几何拓扑逻辑检查'!D:J,7,FALSE)</f>
        <v>39625</v>
      </c>
      <c r="K183" s="26">
        <v>0</v>
      </c>
      <c r="L183" s="30">
        <f t="shared" si="4"/>
        <v>1</v>
      </c>
      <c r="M183" s="8" t="str">
        <f t="shared" si="5"/>
        <v>是</v>
      </c>
      <c r="N183" s="26"/>
    </row>
    <row r="184" spans="1:14">
      <c r="A184" s="26">
        <v>183</v>
      </c>
      <c r="B184" s="19">
        <v>10302</v>
      </c>
      <c r="C184" s="20" t="s">
        <v>119</v>
      </c>
      <c r="D184" s="20" t="s">
        <v>204</v>
      </c>
      <c r="E184" s="26" t="s">
        <v>100</v>
      </c>
      <c r="F184" s="19" t="s">
        <v>63</v>
      </c>
      <c r="G184" s="27">
        <v>1</v>
      </c>
      <c r="H184" s="26" t="s">
        <v>101</v>
      </c>
      <c r="I184" s="29">
        <v>1</v>
      </c>
      <c r="J184" s="26">
        <f>VLOOKUP(C:C,'4.几何拓扑逻辑检查'!D:J,7,FALSE)</f>
        <v>55050</v>
      </c>
      <c r="K184" s="26">
        <v>0</v>
      </c>
      <c r="L184" s="30">
        <f t="shared" si="4"/>
        <v>1</v>
      </c>
      <c r="M184" s="8" t="str">
        <f t="shared" si="5"/>
        <v>是</v>
      </c>
      <c r="N184" s="26"/>
    </row>
    <row r="185" spans="1:14">
      <c r="A185" s="26">
        <v>184</v>
      </c>
      <c r="B185" s="19">
        <v>10303</v>
      </c>
      <c r="C185" s="20" t="s">
        <v>119</v>
      </c>
      <c r="D185" s="20" t="s">
        <v>107</v>
      </c>
      <c r="E185" s="26" t="s">
        <v>100</v>
      </c>
      <c r="F185" s="19" t="s">
        <v>63</v>
      </c>
      <c r="G185" s="27">
        <v>1</v>
      </c>
      <c r="H185" s="26" t="s">
        <v>101</v>
      </c>
      <c r="I185" s="29">
        <v>1</v>
      </c>
      <c r="J185" s="26">
        <f>VLOOKUP(C:C,'4.几何拓扑逻辑检查'!D:J,7,FALSE)</f>
        <v>55050</v>
      </c>
      <c r="K185" s="26">
        <v>0</v>
      </c>
      <c r="L185" s="30">
        <f t="shared" si="4"/>
        <v>1</v>
      </c>
      <c r="M185" s="8" t="str">
        <f t="shared" si="5"/>
        <v>是</v>
      </c>
      <c r="N185" s="26"/>
    </row>
    <row r="186" spans="1:14">
      <c r="A186" s="26">
        <v>185</v>
      </c>
      <c r="B186" s="19">
        <v>10304</v>
      </c>
      <c r="C186" s="20" t="s">
        <v>126</v>
      </c>
      <c r="D186" s="20" t="s">
        <v>181</v>
      </c>
      <c r="E186" s="26" t="s">
        <v>100</v>
      </c>
      <c r="F186" s="19" t="s">
        <v>63</v>
      </c>
      <c r="G186" s="27">
        <v>1</v>
      </c>
      <c r="H186" s="26" t="s">
        <v>101</v>
      </c>
      <c r="I186" s="29">
        <v>1</v>
      </c>
      <c r="J186" s="26">
        <v>14435</v>
      </c>
      <c r="K186" s="26">
        <v>0</v>
      </c>
      <c r="L186" s="30">
        <f t="shared" si="4"/>
        <v>1</v>
      </c>
      <c r="M186" s="8" t="str">
        <f t="shared" si="5"/>
        <v>是</v>
      </c>
      <c r="N186" s="26"/>
    </row>
    <row r="187" spans="1:14">
      <c r="A187" s="26">
        <v>186</v>
      </c>
      <c r="B187" s="19">
        <v>10306</v>
      </c>
      <c r="C187" s="20" t="s">
        <v>165</v>
      </c>
      <c r="D187" s="20" t="s">
        <v>202</v>
      </c>
      <c r="E187" s="26" t="s">
        <v>100</v>
      </c>
      <c r="F187" s="19" t="s">
        <v>63</v>
      </c>
      <c r="G187" s="27">
        <v>1</v>
      </c>
      <c r="H187" s="26" t="s">
        <v>101</v>
      </c>
      <c r="I187" s="29">
        <v>1</v>
      </c>
      <c r="J187" s="26">
        <f>VLOOKUP(C:C,'4.几何拓扑逻辑检查'!D:J,7,FALSE)</f>
        <v>14777</v>
      </c>
      <c r="K187" s="26">
        <v>0</v>
      </c>
      <c r="L187" s="30">
        <f t="shared" si="4"/>
        <v>1</v>
      </c>
      <c r="M187" s="8" t="str">
        <f t="shared" si="5"/>
        <v>是</v>
      </c>
      <c r="N187" s="26"/>
    </row>
    <row r="188" spans="1:14">
      <c r="A188" s="26">
        <v>187</v>
      </c>
      <c r="B188" s="19">
        <v>10307</v>
      </c>
      <c r="C188" s="20" t="s">
        <v>151</v>
      </c>
      <c r="D188" s="20" t="s">
        <v>205</v>
      </c>
      <c r="E188" s="26" t="s">
        <v>100</v>
      </c>
      <c r="F188" s="19" t="s">
        <v>63</v>
      </c>
      <c r="G188" s="27">
        <v>1</v>
      </c>
      <c r="H188" s="26" t="s">
        <v>101</v>
      </c>
      <c r="I188" s="29">
        <v>1</v>
      </c>
      <c r="J188" s="26">
        <f>VLOOKUP(C:C,'4.几何拓扑逻辑检查'!D:J,7,FALSE)</f>
        <v>18111</v>
      </c>
      <c r="K188" s="26">
        <v>0</v>
      </c>
      <c r="L188" s="30">
        <f t="shared" si="4"/>
        <v>1</v>
      </c>
      <c r="M188" s="8" t="str">
        <f t="shared" si="5"/>
        <v>是</v>
      </c>
      <c r="N188" s="26"/>
    </row>
    <row r="189" spans="1:14">
      <c r="A189" s="26">
        <v>188</v>
      </c>
      <c r="B189" s="19">
        <v>10308</v>
      </c>
      <c r="C189" s="20" t="s">
        <v>153</v>
      </c>
      <c r="D189" s="20" t="s">
        <v>203</v>
      </c>
      <c r="E189" s="26" t="s">
        <v>100</v>
      </c>
      <c r="F189" s="19" t="s">
        <v>63</v>
      </c>
      <c r="G189" s="27">
        <v>1</v>
      </c>
      <c r="H189" s="26" t="s">
        <v>101</v>
      </c>
      <c r="I189" s="29">
        <v>1</v>
      </c>
      <c r="J189" s="26">
        <f>VLOOKUP(C:C,'4.几何拓扑逻辑检查'!D:J,7,FALSE)</f>
        <v>194834</v>
      </c>
      <c r="K189" s="26">
        <v>0</v>
      </c>
      <c r="L189" s="30">
        <f t="shared" si="4"/>
        <v>1</v>
      </c>
      <c r="M189" s="8" t="str">
        <f t="shared" si="5"/>
        <v>是</v>
      </c>
      <c r="N189" s="26"/>
    </row>
    <row r="190" spans="1:14">
      <c r="A190" s="26">
        <v>189</v>
      </c>
      <c r="B190" s="19">
        <v>10316</v>
      </c>
      <c r="C190" s="20" t="s">
        <v>145</v>
      </c>
      <c r="D190" s="20" t="s">
        <v>203</v>
      </c>
      <c r="E190" s="26" t="s">
        <v>100</v>
      </c>
      <c r="F190" s="19" t="s">
        <v>63</v>
      </c>
      <c r="G190" s="27">
        <v>1</v>
      </c>
      <c r="H190" s="26" t="s">
        <v>101</v>
      </c>
      <c r="I190" s="29">
        <v>1</v>
      </c>
      <c r="J190" s="26">
        <f>VLOOKUP(C:C,'4.几何拓扑逻辑检查'!D:J,7,FALSE)</f>
        <v>17737</v>
      </c>
      <c r="K190" s="26">
        <v>0</v>
      </c>
      <c r="L190" s="30">
        <f t="shared" si="4"/>
        <v>1</v>
      </c>
      <c r="M190" s="8" t="str">
        <f t="shared" si="5"/>
        <v>是</v>
      </c>
      <c r="N190" s="26"/>
    </row>
    <row r="191" spans="1:14">
      <c r="A191" s="26">
        <v>190</v>
      </c>
      <c r="B191" s="19">
        <v>10317</v>
      </c>
      <c r="C191" s="20" t="s">
        <v>145</v>
      </c>
      <c r="D191" s="20" t="s">
        <v>206</v>
      </c>
      <c r="E191" s="26" t="s">
        <v>100</v>
      </c>
      <c r="F191" s="19" t="s">
        <v>63</v>
      </c>
      <c r="G191" s="27">
        <v>1</v>
      </c>
      <c r="H191" s="26" t="s">
        <v>101</v>
      </c>
      <c r="I191" s="29">
        <v>1</v>
      </c>
      <c r="J191" s="26">
        <f>VLOOKUP(C:C,'4.几何拓扑逻辑检查'!D:J,7,FALSE)</f>
        <v>17737</v>
      </c>
      <c r="K191" s="26">
        <v>0</v>
      </c>
      <c r="L191" s="30">
        <f t="shared" si="4"/>
        <v>1</v>
      </c>
      <c r="M191" s="8" t="str">
        <f t="shared" si="5"/>
        <v>是</v>
      </c>
      <c r="N191" s="26"/>
    </row>
    <row r="192" spans="1:14">
      <c r="A192" s="26">
        <v>191</v>
      </c>
      <c r="B192" s="19">
        <v>10318</v>
      </c>
      <c r="C192" s="20" t="s">
        <v>149</v>
      </c>
      <c r="D192" s="20" t="s">
        <v>203</v>
      </c>
      <c r="E192" s="26" t="s">
        <v>100</v>
      </c>
      <c r="F192" s="19" t="s">
        <v>63</v>
      </c>
      <c r="G192" s="27">
        <v>1</v>
      </c>
      <c r="H192" s="26" t="s">
        <v>101</v>
      </c>
      <c r="I192" s="29">
        <v>1</v>
      </c>
      <c r="J192" s="26">
        <v>608</v>
      </c>
      <c r="K192" s="26">
        <v>0</v>
      </c>
      <c r="L192" s="30">
        <f t="shared" si="4"/>
        <v>1</v>
      </c>
      <c r="M192" s="8" t="str">
        <f t="shared" si="5"/>
        <v>是</v>
      </c>
      <c r="N192" s="26"/>
    </row>
    <row r="193" spans="1:14">
      <c r="A193" s="26">
        <v>192</v>
      </c>
      <c r="B193" s="19">
        <v>10319</v>
      </c>
      <c r="C193" s="20" t="s">
        <v>149</v>
      </c>
      <c r="D193" s="20" t="s">
        <v>206</v>
      </c>
      <c r="E193" s="26" t="s">
        <v>100</v>
      </c>
      <c r="F193" s="19" t="s">
        <v>63</v>
      </c>
      <c r="G193" s="27">
        <v>1</v>
      </c>
      <c r="H193" s="26" t="s">
        <v>101</v>
      </c>
      <c r="I193" s="29">
        <v>1</v>
      </c>
      <c r="J193" s="26">
        <v>608</v>
      </c>
      <c r="K193" s="26">
        <v>0</v>
      </c>
      <c r="L193" s="30">
        <f t="shared" si="4"/>
        <v>1</v>
      </c>
      <c r="M193" s="8" t="str">
        <f t="shared" si="5"/>
        <v>是</v>
      </c>
      <c r="N193" s="26"/>
    </row>
    <row r="194" spans="1:14">
      <c r="A194" s="26">
        <v>193</v>
      </c>
      <c r="B194" s="19">
        <v>10320</v>
      </c>
      <c r="C194" s="20" t="s">
        <v>151</v>
      </c>
      <c r="D194" s="20" t="s">
        <v>203</v>
      </c>
      <c r="E194" s="26" t="s">
        <v>100</v>
      </c>
      <c r="F194" s="19" t="s">
        <v>63</v>
      </c>
      <c r="G194" s="27">
        <v>1</v>
      </c>
      <c r="H194" s="26" t="s">
        <v>101</v>
      </c>
      <c r="I194" s="29">
        <v>1</v>
      </c>
      <c r="J194" s="26">
        <f>VLOOKUP(C:C,'4.几何拓扑逻辑检查'!D:J,7,FALSE)</f>
        <v>18111</v>
      </c>
      <c r="K194" s="26">
        <v>0</v>
      </c>
      <c r="L194" s="30">
        <f t="shared" si="4"/>
        <v>1</v>
      </c>
      <c r="M194" s="8" t="str">
        <f t="shared" si="5"/>
        <v>是</v>
      </c>
      <c r="N194" s="26"/>
    </row>
    <row r="195" spans="1:14">
      <c r="A195" s="26">
        <v>194</v>
      </c>
      <c r="B195" s="19">
        <v>10321</v>
      </c>
      <c r="C195" s="20" t="s">
        <v>151</v>
      </c>
      <c r="D195" s="20" t="s">
        <v>206</v>
      </c>
      <c r="E195" s="26" t="s">
        <v>100</v>
      </c>
      <c r="F195" s="19" t="s">
        <v>63</v>
      </c>
      <c r="G195" s="27">
        <v>1</v>
      </c>
      <c r="H195" s="26" t="s">
        <v>101</v>
      </c>
      <c r="I195" s="29">
        <v>1</v>
      </c>
      <c r="J195" s="26">
        <f>VLOOKUP(C:C,'4.几何拓扑逻辑检查'!D:J,7,FALSE)</f>
        <v>18111</v>
      </c>
      <c r="K195" s="26">
        <v>0</v>
      </c>
      <c r="L195" s="30">
        <f t="shared" ref="L195:L234" si="6">1-K195/J195</f>
        <v>1</v>
      </c>
      <c r="M195" s="8" t="str">
        <f t="shared" ref="M195:M234" si="7">IF(L195&gt;=I195,"是","否")</f>
        <v>是</v>
      </c>
      <c r="N195" s="26"/>
    </row>
    <row r="196" spans="1:14">
      <c r="A196" s="26">
        <v>195</v>
      </c>
      <c r="B196" s="20">
        <v>11001</v>
      </c>
      <c r="C196" s="19" t="s">
        <v>137</v>
      </c>
      <c r="D196" s="20" t="s">
        <v>140</v>
      </c>
      <c r="E196" s="26" t="s">
        <v>207</v>
      </c>
      <c r="F196" s="19" t="s">
        <v>63</v>
      </c>
      <c r="G196" s="27">
        <v>1</v>
      </c>
      <c r="H196" s="26" t="s">
        <v>101</v>
      </c>
      <c r="I196" s="29">
        <v>1</v>
      </c>
      <c r="J196" s="26">
        <f>VLOOKUP(C:C,'4.几何拓扑逻辑检查'!D:J,7,FALSE)</f>
        <v>39676</v>
      </c>
      <c r="K196" s="26">
        <v>0</v>
      </c>
      <c r="L196" s="30">
        <f t="shared" si="6"/>
        <v>1</v>
      </c>
      <c r="M196" s="8" t="str">
        <f t="shared" si="7"/>
        <v>是</v>
      </c>
      <c r="N196" s="26"/>
    </row>
    <row r="197" spans="1:14">
      <c r="A197" s="26">
        <v>196</v>
      </c>
      <c r="B197" s="20">
        <v>11002</v>
      </c>
      <c r="C197" s="19" t="s">
        <v>137</v>
      </c>
      <c r="D197" s="20" t="s">
        <v>142</v>
      </c>
      <c r="E197" s="26" t="s">
        <v>207</v>
      </c>
      <c r="F197" s="19" t="s">
        <v>63</v>
      </c>
      <c r="G197" s="27">
        <v>1</v>
      </c>
      <c r="H197" s="26" t="s">
        <v>101</v>
      </c>
      <c r="I197" s="29">
        <v>1</v>
      </c>
      <c r="J197" s="26">
        <f>VLOOKUP(C:C,'4.几何拓扑逻辑检查'!D:J,7,FALSE)</f>
        <v>39676</v>
      </c>
      <c r="K197" s="26">
        <v>0</v>
      </c>
      <c r="L197" s="30">
        <f t="shared" si="6"/>
        <v>1</v>
      </c>
      <c r="M197" s="8" t="str">
        <f t="shared" si="7"/>
        <v>是</v>
      </c>
      <c r="N197" s="26"/>
    </row>
    <row r="198" spans="1:14">
      <c r="A198" s="26">
        <v>197</v>
      </c>
      <c r="B198" s="20">
        <v>11003</v>
      </c>
      <c r="C198" s="19" t="s">
        <v>98</v>
      </c>
      <c r="D198" s="20" t="s">
        <v>107</v>
      </c>
      <c r="E198" s="26" t="s">
        <v>207</v>
      </c>
      <c r="F198" s="19" t="s">
        <v>63</v>
      </c>
      <c r="G198" s="27">
        <v>1</v>
      </c>
      <c r="H198" s="26" t="s">
        <v>101</v>
      </c>
      <c r="I198" s="29">
        <v>1</v>
      </c>
      <c r="J198" s="26">
        <f>VLOOKUP(C:C,'4.几何拓扑逻辑检查'!D:J,7,FALSE)</f>
        <v>39625</v>
      </c>
      <c r="K198" s="26">
        <v>0</v>
      </c>
      <c r="L198" s="30">
        <f t="shared" si="6"/>
        <v>1</v>
      </c>
      <c r="M198" s="8" t="str">
        <f t="shared" si="7"/>
        <v>是</v>
      </c>
      <c r="N198" s="26"/>
    </row>
    <row r="199" spans="1:14">
      <c r="A199" s="26">
        <v>198</v>
      </c>
      <c r="B199" s="20">
        <v>11010</v>
      </c>
      <c r="C199" s="19" t="s">
        <v>98</v>
      </c>
      <c r="D199" s="19" t="s">
        <v>111</v>
      </c>
      <c r="E199" s="26" t="s">
        <v>207</v>
      </c>
      <c r="F199" s="19" t="s">
        <v>63</v>
      </c>
      <c r="G199" s="27">
        <v>1</v>
      </c>
      <c r="H199" s="26" t="s">
        <v>101</v>
      </c>
      <c r="I199" s="29">
        <v>1</v>
      </c>
      <c r="J199" s="26">
        <f>VLOOKUP(C:C,'4.几何拓扑逻辑检查'!D:J,7,FALSE)</f>
        <v>39625</v>
      </c>
      <c r="K199" s="26">
        <v>0</v>
      </c>
      <c r="L199" s="30">
        <f t="shared" si="6"/>
        <v>1</v>
      </c>
      <c r="M199" s="8" t="str">
        <f t="shared" si="7"/>
        <v>是</v>
      </c>
      <c r="N199" s="26"/>
    </row>
    <row r="200" spans="1:14">
      <c r="A200" s="26">
        <v>199</v>
      </c>
      <c r="B200" s="20">
        <v>11011</v>
      </c>
      <c r="C200" s="19" t="s">
        <v>98</v>
      </c>
      <c r="D200" s="19" t="s">
        <v>112</v>
      </c>
      <c r="E200" s="26" t="s">
        <v>207</v>
      </c>
      <c r="F200" s="19" t="s">
        <v>63</v>
      </c>
      <c r="G200" s="27">
        <v>1</v>
      </c>
      <c r="H200" s="26" t="s">
        <v>101</v>
      </c>
      <c r="I200" s="29">
        <v>1</v>
      </c>
      <c r="J200" s="26">
        <f>VLOOKUP(C:C,'4.几何拓扑逻辑检查'!D:J,7,FALSE)</f>
        <v>39625</v>
      </c>
      <c r="K200" s="26">
        <v>0</v>
      </c>
      <c r="L200" s="30">
        <f t="shared" si="6"/>
        <v>1</v>
      </c>
      <c r="M200" s="8" t="str">
        <f t="shared" si="7"/>
        <v>是</v>
      </c>
      <c r="N200" s="26"/>
    </row>
    <row r="201" spans="1:14">
      <c r="A201" s="26">
        <v>200</v>
      </c>
      <c r="B201" s="20">
        <v>11012</v>
      </c>
      <c r="C201" s="19" t="s">
        <v>98</v>
      </c>
      <c r="D201" s="19" t="s">
        <v>113</v>
      </c>
      <c r="E201" s="26" t="s">
        <v>207</v>
      </c>
      <c r="F201" s="19" t="s">
        <v>63</v>
      </c>
      <c r="G201" s="27">
        <v>1</v>
      </c>
      <c r="H201" s="26" t="s">
        <v>101</v>
      </c>
      <c r="I201" s="29">
        <v>1</v>
      </c>
      <c r="J201" s="26">
        <f>VLOOKUP(C:C,'4.几何拓扑逻辑检查'!D:J,7,FALSE)</f>
        <v>39625</v>
      </c>
      <c r="K201" s="26">
        <v>0</v>
      </c>
      <c r="L201" s="30">
        <f t="shared" si="6"/>
        <v>1</v>
      </c>
      <c r="M201" s="8" t="str">
        <f t="shared" si="7"/>
        <v>是</v>
      </c>
      <c r="N201" s="26"/>
    </row>
    <row r="202" spans="1:14">
      <c r="A202" s="26">
        <v>201</v>
      </c>
      <c r="B202" s="20">
        <v>11013</v>
      </c>
      <c r="C202" s="19" t="s">
        <v>119</v>
      </c>
      <c r="D202" s="19" t="s">
        <v>111</v>
      </c>
      <c r="E202" s="26" t="s">
        <v>207</v>
      </c>
      <c r="F202" s="19" t="s">
        <v>63</v>
      </c>
      <c r="G202" s="27">
        <v>1</v>
      </c>
      <c r="H202" s="26" t="s">
        <v>101</v>
      </c>
      <c r="I202" s="29">
        <v>1</v>
      </c>
      <c r="J202" s="26">
        <f>VLOOKUP(C:C,'4.几何拓扑逻辑检查'!D:J,7,FALSE)</f>
        <v>55050</v>
      </c>
      <c r="K202" s="26">
        <v>0</v>
      </c>
      <c r="L202" s="30">
        <f t="shared" si="6"/>
        <v>1</v>
      </c>
      <c r="M202" s="8" t="str">
        <f t="shared" si="7"/>
        <v>是</v>
      </c>
      <c r="N202" s="26"/>
    </row>
    <row r="203" spans="1:14">
      <c r="A203" s="26">
        <v>202</v>
      </c>
      <c r="B203" s="20">
        <v>11014</v>
      </c>
      <c r="C203" s="19" t="s">
        <v>119</v>
      </c>
      <c r="D203" s="19" t="s">
        <v>112</v>
      </c>
      <c r="E203" s="26" t="s">
        <v>207</v>
      </c>
      <c r="F203" s="19" t="s">
        <v>63</v>
      </c>
      <c r="G203" s="27">
        <v>1</v>
      </c>
      <c r="H203" s="26" t="s">
        <v>101</v>
      </c>
      <c r="I203" s="29">
        <v>1</v>
      </c>
      <c r="J203" s="26">
        <f>VLOOKUP(C:C,'4.几何拓扑逻辑检查'!D:J,7,FALSE)</f>
        <v>55050</v>
      </c>
      <c r="K203" s="26">
        <v>0</v>
      </c>
      <c r="L203" s="30">
        <f t="shared" si="6"/>
        <v>1</v>
      </c>
      <c r="M203" s="8" t="str">
        <f t="shared" si="7"/>
        <v>是</v>
      </c>
      <c r="N203" s="26"/>
    </row>
    <row r="204" spans="1:14">
      <c r="A204" s="26">
        <v>203</v>
      </c>
      <c r="B204" s="20">
        <v>11015</v>
      </c>
      <c r="C204" s="19" t="s">
        <v>119</v>
      </c>
      <c r="D204" s="19" t="s">
        <v>113</v>
      </c>
      <c r="E204" s="26" t="s">
        <v>207</v>
      </c>
      <c r="F204" s="19" t="s">
        <v>63</v>
      </c>
      <c r="G204" s="27">
        <v>1</v>
      </c>
      <c r="H204" s="26" t="s">
        <v>101</v>
      </c>
      <c r="I204" s="29">
        <v>1</v>
      </c>
      <c r="J204" s="26">
        <f>VLOOKUP(C:C,'4.几何拓扑逻辑检查'!D:J,7,FALSE)</f>
        <v>55050</v>
      </c>
      <c r="K204" s="26">
        <v>0</v>
      </c>
      <c r="L204" s="30">
        <f t="shared" si="6"/>
        <v>1</v>
      </c>
      <c r="M204" s="8" t="str">
        <f t="shared" si="7"/>
        <v>是</v>
      </c>
      <c r="N204" s="26"/>
    </row>
    <row r="205" spans="1:14">
      <c r="A205" s="26">
        <v>204</v>
      </c>
      <c r="B205" s="20">
        <v>11021</v>
      </c>
      <c r="C205" s="19" t="s">
        <v>165</v>
      </c>
      <c r="D205" s="19" t="s">
        <v>175</v>
      </c>
      <c r="E205" s="26" t="s">
        <v>207</v>
      </c>
      <c r="F205" s="19" t="s">
        <v>63</v>
      </c>
      <c r="G205" s="27">
        <v>1</v>
      </c>
      <c r="H205" s="26" t="s">
        <v>101</v>
      </c>
      <c r="I205" s="29">
        <v>1</v>
      </c>
      <c r="J205" s="26">
        <f>VLOOKUP(C:C,'4.几何拓扑逻辑检查'!D:J,7,FALSE)</f>
        <v>14777</v>
      </c>
      <c r="K205" s="26">
        <v>0</v>
      </c>
      <c r="L205" s="30">
        <f t="shared" si="6"/>
        <v>1</v>
      </c>
      <c r="M205" s="8" t="str">
        <f t="shared" si="7"/>
        <v>是</v>
      </c>
      <c r="N205" s="26"/>
    </row>
    <row r="206" spans="1:14">
      <c r="A206" s="26">
        <v>205</v>
      </c>
      <c r="B206" s="19">
        <v>12001</v>
      </c>
      <c r="C206" s="19" t="s">
        <v>98</v>
      </c>
      <c r="D206" s="19" t="s">
        <v>102</v>
      </c>
      <c r="E206" s="26" t="s">
        <v>208</v>
      </c>
      <c r="F206" s="19" t="s">
        <v>63</v>
      </c>
      <c r="G206" s="27">
        <v>1</v>
      </c>
      <c r="H206" s="26" t="s">
        <v>101</v>
      </c>
      <c r="I206" s="29">
        <v>1</v>
      </c>
      <c r="J206" s="26">
        <f>VLOOKUP(C:C,'4.几何拓扑逻辑检查'!D:J,7,FALSE)</f>
        <v>39625</v>
      </c>
      <c r="K206" s="26">
        <v>0</v>
      </c>
      <c r="L206" s="30">
        <f t="shared" si="6"/>
        <v>1</v>
      </c>
      <c r="M206" s="8" t="str">
        <f t="shared" si="7"/>
        <v>是</v>
      </c>
      <c r="N206" s="26"/>
    </row>
    <row r="207" spans="1:14">
      <c r="A207" s="26">
        <v>206</v>
      </c>
      <c r="B207" s="19">
        <v>12002</v>
      </c>
      <c r="C207" s="19" t="s">
        <v>98</v>
      </c>
      <c r="D207" s="19" t="s">
        <v>103</v>
      </c>
      <c r="E207" s="26" t="s">
        <v>208</v>
      </c>
      <c r="F207" s="19" t="s">
        <v>63</v>
      </c>
      <c r="G207" s="27">
        <v>1</v>
      </c>
      <c r="H207" s="26" t="s">
        <v>101</v>
      </c>
      <c r="I207" s="29">
        <v>1</v>
      </c>
      <c r="J207" s="26">
        <f>VLOOKUP(C:C,'4.几何拓扑逻辑检查'!D:J,7,FALSE)</f>
        <v>39625</v>
      </c>
      <c r="K207" s="26">
        <v>0</v>
      </c>
      <c r="L207" s="30">
        <f t="shared" si="6"/>
        <v>1</v>
      </c>
      <c r="M207" s="8" t="str">
        <f t="shared" si="7"/>
        <v>是</v>
      </c>
      <c r="N207" s="26"/>
    </row>
    <row r="208" spans="1:14">
      <c r="A208" s="26">
        <v>207</v>
      </c>
      <c r="B208" s="19">
        <v>12003</v>
      </c>
      <c r="C208" s="19" t="s">
        <v>98</v>
      </c>
      <c r="D208" s="19" t="s">
        <v>104</v>
      </c>
      <c r="E208" s="26" t="s">
        <v>208</v>
      </c>
      <c r="F208" s="19" t="s">
        <v>63</v>
      </c>
      <c r="G208" s="27">
        <v>1</v>
      </c>
      <c r="H208" s="26" t="s">
        <v>101</v>
      </c>
      <c r="I208" s="29">
        <v>1</v>
      </c>
      <c r="J208" s="26">
        <f>VLOOKUP(C:C,'4.几何拓扑逻辑检查'!D:J,7,FALSE)</f>
        <v>39625</v>
      </c>
      <c r="K208" s="26">
        <v>0</v>
      </c>
      <c r="L208" s="30">
        <f t="shared" si="6"/>
        <v>1</v>
      </c>
      <c r="M208" s="8" t="str">
        <f t="shared" si="7"/>
        <v>是</v>
      </c>
      <c r="N208" s="26"/>
    </row>
    <row r="209" spans="1:14">
      <c r="A209" s="26">
        <v>208</v>
      </c>
      <c r="B209" s="19">
        <v>12004</v>
      </c>
      <c r="C209" s="19" t="s">
        <v>98</v>
      </c>
      <c r="D209" s="19" t="s">
        <v>105</v>
      </c>
      <c r="E209" s="26" t="s">
        <v>208</v>
      </c>
      <c r="F209" s="19" t="s">
        <v>63</v>
      </c>
      <c r="G209" s="27">
        <v>1</v>
      </c>
      <c r="H209" s="26" t="s">
        <v>101</v>
      </c>
      <c r="I209" s="29">
        <v>1</v>
      </c>
      <c r="J209" s="26">
        <f>VLOOKUP(C:C,'4.几何拓扑逻辑检查'!D:J,7,FALSE)</f>
        <v>39625</v>
      </c>
      <c r="K209" s="26">
        <v>0</v>
      </c>
      <c r="L209" s="30">
        <f t="shared" si="6"/>
        <v>1</v>
      </c>
      <c r="M209" s="8" t="str">
        <f t="shared" si="7"/>
        <v>是</v>
      </c>
      <c r="N209" s="26"/>
    </row>
    <row r="210" spans="1:14">
      <c r="A210" s="26">
        <v>209</v>
      </c>
      <c r="B210" s="19">
        <v>12005</v>
      </c>
      <c r="C210" s="19" t="s">
        <v>98</v>
      </c>
      <c r="D210" s="19" t="s">
        <v>109</v>
      </c>
      <c r="E210" s="26" t="s">
        <v>208</v>
      </c>
      <c r="F210" s="19" t="s">
        <v>63</v>
      </c>
      <c r="G210" s="27">
        <v>1</v>
      </c>
      <c r="H210" s="26" t="s">
        <v>101</v>
      </c>
      <c r="I210" s="29">
        <v>1</v>
      </c>
      <c r="J210" s="26">
        <f>VLOOKUP(C:C,'4.几何拓扑逻辑检查'!D:J,7,FALSE)</f>
        <v>39625</v>
      </c>
      <c r="K210" s="26">
        <v>0</v>
      </c>
      <c r="L210" s="30">
        <f t="shared" si="6"/>
        <v>1</v>
      </c>
      <c r="M210" s="8" t="str">
        <f t="shared" si="7"/>
        <v>是</v>
      </c>
      <c r="N210" s="26"/>
    </row>
    <row r="211" spans="1:14">
      <c r="A211" s="26">
        <v>210</v>
      </c>
      <c r="B211" s="19">
        <v>12006</v>
      </c>
      <c r="C211" s="19" t="s">
        <v>98</v>
      </c>
      <c r="D211" s="19" t="s">
        <v>115</v>
      </c>
      <c r="E211" s="26" t="s">
        <v>208</v>
      </c>
      <c r="F211" s="19" t="s">
        <v>63</v>
      </c>
      <c r="G211" s="27">
        <v>1</v>
      </c>
      <c r="H211" s="26" t="s">
        <v>101</v>
      </c>
      <c r="I211" s="29">
        <v>1</v>
      </c>
      <c r="J211" s="26">
        <f>VLOOKUP(C:C,'4.几何拓扑逻辑检查'!D:J,7,FALSE)</f>
        <v>39625</v>
      </c>
      <c r="K211" s="26">
        <v>0</v>
      </c>
      <c r="L211" s="30">
        <f t="shared" si="6"/>
        <v>1</v>
      </c>
      <c r="M211" s="8" t="str">
        <f t="shared" si="7"/>
        <v>是</v>
      </c>
      <c r="N211" s="26"/>
    </row>
    <row r="212" spans="1:14">
      <c r="A212" s="26">
        <v>211</v>
      </c>
      <c r="B212" s="19">
        <v>12008</v>
      </c>
      <c r="C212" s="19" t="s">
        <v>119</v>
      </c>
      <c r="D212" s="19" t="s">
        <v>124</v>
      </c>
      <c r="E212" s="26" t="s">
        <v>208</v>
      </c>
      <c r="F212" s="19" t="s">
        <v>63</v>
      </c>
      <c r="G212" s="27">
        <v>1</v>
      </c>
      <c r="H212" s="26" t="s">
        <v>101</v>
      </c>
      <c r="I212" s="29">
        <v>1</v>
      </c>
      <c r="J212" s="26">
        <f>VLOOKUP(C:C,'4.几何拓扑逻辑检查'!D:J,7,FALSE)</f>
        <v>55050</v>
      </c>
      <c r="K212" s="26">
        <v>0</v>
      </c>
      <c r="L212" s="30">
        <f t="shared" si="6"/>
        <v>1</v>
      </c>
      <c r="M212" s="8" t="str">
        <f t="shared" si="7"/>
        <v>是</v>
      </c>
      <c r="N212" s="26"/>
    </row>
    <row r="213" spans="1:14">
      <c r="A213" s="26">
        <v>212</v>
      </c>
      <c r="B213" s="19">
        <v>12009</v>
      </c>
      <c r="C213" s="19" t="s">
        <v>126</v>
      </c>
      <c r="D213" s="20" t="s">
        <v>127</v>
      </c>
      <c r="E213" s="26" t="s">
        <v>208</v>
      </c>
      <c r="F213" s="19" t="s">
        <v>63</v>
      </c>
      <c r="G213" s="27">
        <v>1</v>
      </c>
      <c r="H213" s="26" t="s">
        <v>101</v>
      </c>
      <c r="I213" s="29">
        <v>1</v>
      </c>
      <c r="J213" s="26">
        <v>14435</v>
      </c>
      <c r="K213" s="26">
        <v>0</v>
      </c>
      <c r="L213" s="30">
        <f t="shared" si="6"/>
        <v>1</v>
      </c>
      <c r="M213" s="8" t="str">
        <f t="shared" si="7"/>
        <v>是</v>
      </c>
      <c r="N213" s="26"/>
    </row>
    <row r="214" spans="1:14">
      <c r="A214" s="26">
        <v>213</v>
      </c>
      <c r="B214" s="19">
        <v>12010</v>
      </c>
      <c r="C214" s="19" t="s">
        <v>130</v>
      </c>
      <c r="D214" s="19" t="s">
        <v>131</v>
      </c>
      <c r="E214" s="26" t="s">
        <v>208</v>
      </c>
      <c r="F214" s="19" t="s">
        <v>63</v>
      </c>
      <c r="G214" s="27">
        <v>1</v>
      </c>
      <c r="H214" s="26" t="s">
        <v>101</v>
      </c>
      <c r="I214" s="29">
        <v>1</v>
      </c>
      <c r="J214" s="26">
        <f>VLOOKUP(C:C,'4.几何拓扑逻辑检查'!D:J,7,FALSE)</f>
        <v>38442</v>
      </c>
      <c r="K214" s="26">
        <v>0</v>
      </c>
      <c r="L214" s="30">
        <f t="shared" si="6"/>
        <v>1</v>
      </c>
      <c r="M214" s="8" t="str">
        <f t="shared" si="7"/>
        <v>是</v>
      </c>
      <c r="N214" s="26"/>
    </row>
    <row r="215" spans="1:14">
      <c r="A215" s="26">
        <v>214</v>
      </c>
      <c r="B215" s="19">
        <v>12011</v>
      </c>
      <c r="C215" s="19" t="s">
        <v>130</v>
      </c>
      <c r="D215" s="19" t="s">
        <v>132</v>
      </c>
      <c r="E215" s="26" t="s">
        <v>208</v>
      </c>
      <c r="F215" s="19" t="s">
        <v>63</v>
      </c>
      <c r="G215" s="27">
        <v>1</v>
      </c>
      <c r="H215" s="26" t="s">
        <v>101</v>
      </c>
      <c r="I215" s="29">
        <v>1</v>
      </c>
      <c r="J215" s="26">
        <f>VLOOKUP(C:C,'4.几何拓扑逻辑检查'!D:J,7,FALSE)</f>
        <v>38442</v>
      </c>
      <c r="K215" s="26">
        <v>0</v>
      </c>
      <c r="L215" s="30">
        <f t="shared" si="6"/>
        <v>1</v>
      </c>
      <c r="M215" s="8" t="str">
        <f t="shared" si="7"/>
        <v>是</v>
      </c>
      <c r="N215" s="26"/>
    </row>
    <row r="216" spans="1:14">
      <c r="A216" s="26">
        <v>215</v>
      </c>
      <c r="B216" s="19">
        <v>12016</v>
      </c>
      <c r="C216" s="19" t="s">
        <v>137</v>
      </c>
      <c r="D216" s="20" t="s">
        <v>127</v>
      </c>
      <c r="E216" s="26" t="s">
        <v>208</v>
      </c>
      <c r="F216" s="19" t="s">
        <v>63</v>
      </c>
      <c r="G216" s="27">
        <v>1</v>
      </c>
      <c r="H216" s="26" t="s">
        <v>101</v>
      </c>
      <c r="I216" s="29">
        <v>1</v>
      </c>
      <c r="J216" s="26">
        <f>VLOOKUP(C:C,'4.几何拓扑逻辑检查'!D:J,7,FALSE)</f>
        <v>39676</v>
      </c>
      <c r="K216" s="26">
        <v>0</v>
      </c>
      <c r="L216" s="30">
        <f t="shared" si="6"/>
        <v>1</v>
      </c>
      <c r="M216" s="8" t="str">
        <f t="shared" si="7"/>
        <v>是</v>
      </c>
      <c r="N216" s="26"/>
    </row>
    <row r="217" spans="1:14">
      <c r="A217" s="26">
        <v>216</v>
      </c>
      <c r="B217" s="19">
        <v>12017</v>
      </c>
      <c r="C217" s="19" t="s">
        <v>137</v>
      </c>
      <c r="D217" s="20" t="s">
        <v>138</v>
      </c>
      <c r="E217" s="26" t="s">
        <v>208</v>
      </c>
      <c r="F217" s="19" t="s">
        <v>63</v>
      </c>
      <c r="G217" s="27">
        <v>1</v>
      </c>
      <c r="H217" s="26" t="s">
        <v>101</v>
      </c>
      <c r="I217" s="29">
        <v>1</v>
      </c>
      <c r="J217" s="26">
        <f>VLOOKUP(C:C,'4.几何拓扑逻辑检查'!D:J,7,FALSE)</f>
        <v>39676</v>
      </c>
      <c r="K217" s="26">
        <v>0</v>
      </c>
      <c r="L217" s="30">
        <f t="shared" si="6"/>
        <v>1</v>
      </c>
      <c r="M217" s="8" t="str">
        <f t="shared" si="7"/>
        <v>是</v>
      </c>
      <c r="N217" s="26"/>
    </row>
    <row r="218" spans="1:14">
      <c r="A218" s="26">
        <v>217</v>
      </c>
      <c r="B218" s="19">
        <v>12022</v>
      </c>
      <c r="C218" s="19" t="s">
        <v>146</v>
      </c>
      <c r="D218" s="20" t="s">
        <v>127</v>
      </c>
      <c r="E218" s="26" t="s">
        <v>208</v>
      </c>
      <c r="F218" s="19" t="s">
        <v>63</v>
      </c>
      <c r="G218" s="27">
        <v>1</v>
      </c>
      <c r="H218" s="26" t="s">
        <v>101</v>
      </c>
      <c r="I218" s="29">
        <v>1</v>
      </c>
      <c r="J218" s="26">
        <f>VLOOKUP(C:C,'4.几何拓扑逻辑检查'!D:J,7,FALSE)</f>
        <v>36039</v>
      </c>
      <c r="K218" s="26">
        <v>0</v>
      </c>
      <c r="L218" s="30">
        <f t="shared" si="6"/>
        <v>1</v>
      </c>
      <c r="M218" s="8" t="str">
        <f t="shared" si="7"/>
        <v>是</v>
      </c>
      <c r="N218" s="26"/>
    </row>
    <row r="219" spans="1:14">
      <c r="A219" s="26">
        <v>218</v>
      </c>
      <c r="B219" s="19">
        <v>12027</v>
      </c>
      <c r="C219" s="19" t="s">
        <v>162</v>
      </c>
      <c r="D219" s="20" t="s">
        <v>163</v>
      </c>
      <c r="E219" s="26" t="s">
        <v>208</v>
      </c>
      <c r="F219" s="19" t="s">
        <v>63</v>
      </c>
      <c r="G219" s="27">
        <v>1</v>
      </c>
      <c r="H219" s="26" t="s">
        <v>101</v>
      </c>
      <c r="I219" s="29">
        <v>1</v>
      </c>
      <c r="J219" s="26">
        <f>VLOOKUP(C:C,'4.几何拓扑逻辑检查'!D:J,7,FALSE)</f>
        <v>2098</v>
      </c>
      <c r="K219" s="26">
        <v>0</v>
      </c>
      <c r="L219" s="30">
        <f t="shared" si="6"/>
        <v>1</v>
      </c>
      <c r="M219" s="8" t="str">
        <f t="shared" si="7"/>
        <v>是</v>
      </c>
      <c r="N219" s="26"/>
    </row>
    <row r="220" spans="1:14">
      <c r="A220" s="26">
        <v>219</v>
      </c>
      <c r="B220" s="19">
        <v>12028</v>
      </c>
      <c r="C220" s="19" t="s">
        <v>164</v>
      </c>
      <c r="D220" s="20" t="s">
        <v>127</v>
      </c>
      <c r="E220" s="26" t="s">
        <v>208</v>
      </c>
      <c r="F220" s="19" t="s">
        <v>63</v>
      </c>
      <c r="G220" s="27">
        <v>1</v>
      </c>
      <c r="H220" s="26" t="s">
        <v>101</v>
      </c>
      <c r="I220" s="29">
        <v>1</v>
      </c>
      <c r="J220" s="26">
        <f>VLOOKUP(C:C,'4.几何拓扑逻辑检查'!D:J,7,FALSE)</f>
        <v>3462</v>
      </c>
      <c r="K220" s="26">
        <v>0</v>
      </c>
      <c r="L220" s="30">
        <f t="shared" si="6"/>
        <v>1</v>
      </c>
      <c r="M220" s="8" t="str">
        <f t="shared" si="7"/>
        <v>是</v>
      </c>
      <c r="N220" s="26"/>
    </row>
    <row r="221" spans="1:14">
      <c r="A221" s="26">
        <v>220</v>
      </c>
      <c r="B221" s="19">
        <v>12029</v>
      </c>
      <c r="C221" s="19" t="s">
        <v>164</v>
      </c>
      <c r="D221" s="20" t="s">
        <v>138</v>
      </c>
      <c r="E221" s="26" t="s">
        <v>208</v>
      </c>
      <c r="F221" s="19" t="s">
        <v>63</v>
      </c>
      <c r="G221" s="27">
        <v>1</v>
      </c>
      <c r="H221" s="26" t="s">
        <v>101</v>
      </c>
      <c r="I221" s="29">
        <v>1</v>
      </c>
      <c r="J221" s="26">
        <f>VLOOKUP(C:C,'4.几何拓扑逻辑检查'!D:J,7,FALSE)</f>
        <v>3462</v>
      </c>
      <c r="K221" s="26">
        <v>0</v>
      </c>
      <c r="L221" s="30">
        <f t="shared" si="6"/>
        <v>1</v>
      </c>
      <c r="M221" s="8" t="str">
        <f t="shared" si="7"/>
        <v>是</v>
      </c>
      <c r="N221" s="26"/>
    </row>
    <row r="222" spans="1:14">
      <c r="A222" s="26">
        <v>221</v>
      </c>
      <c r="B222" s="19">
        <v>12030</v>
      </c>
      <c r="C222" s="19" t="s">
        <v>193</v>
      </c>
      <c r="D222" s="20" t="s">
        <v>194</v>
      </c>
      <c r="E222" s="26" t="s">
        <v>208</v>
      </c>
      <c r="F222" s="19" t="s">
        <v>63</v>
      </c>
      <c r="G222" s="27">
        <v>1</v>
      </c>
      <c r="H222" s="26" t="s">
        <v>101</v>
      </c>
      <c r="I222" s="29">
        <v>1</v>
      </c>
      <c r="J222" s="26">
        <f>VLOOKUP(C:C,'4.几何拓扑逻辑检查'!D:J,7,FALSE)</f>
        <v>13088</v>
      </c>
      <c r="K222" s="26">
        <v>0</v>
      </c>
      <c r="L222" s="30">
        <f t="shared" si="6"/>
        <v>1</v>
      </c>
      <c r="M222" s="8" t="str">
        <f t="shared" si="7"/>
        <v>是</v>
      </c>
      <c r="N222" s="26"/>
    </row>
    <row r="223" spans="1:14">
      <c r="A223" s="26">
        <v>222</v>
      </c>
      <c r="B223" s="19">
        <v>12031</v>
      </c>
      <c r="C223" s="19" t="s">
        <v>193</v>
      </c>
      <c r="D223" s="20" t="s">
        <v>195</v>
      </c>
      <c r="E223" s="26" t="s">
        <v>208</v>
      </c>
      <c r="F223" s="19" t="s">
        <v>63</v>
      </c>
      <c r="G223" s="27">
        <v>1</v>
      </c>
      <c r="H223" s="26" t="s">
        <v>101</v>
      </c>
      <c r="I223" s="29">
        <v>1</v>
      </c>
      <c r="J223" s="26">
        <f>VLOOKUP(C:C,'4.几何拓扑逻辑检查'!D:J,7,FALSE)</f>
        <v>13088</v>
      </c>
      <c r="K223" s="26">
        <v>0</v>
      </c>
      <c r="L223" s="30">
        <f t="shared" si="6"/>
        <v>1</v>
      </c>
      <c r="M223" s="8" t="str">
        <f t="shared" si="7"/>
        <v>是</v>
      </c>
      <c r="N223" s="26"/>
    </row>
    <row r="224" spans="1:14">
      <c r="A224" s="26">
        <v>223</v>
      </c>
      <c r="B224" s="19">
        <v>12032</v>
      </c>
      <c r="C224" s="19" t="s">
        <v>165</v>
      </c>
      <c r="D224" s="20" t="s">
        <v>166</v>
      </c>
      <c r="E224" s="26" t="s">
        <v>208</v>
      </c>
      <c r="F224" s="19" t="s">
        <v>63</v>
      </c>
      <c r="G224" s="27">
        <v>1</v>
      </c>
      <c r="H224" s="26" t="s">
        <v>101</v>
      </c>
      <c r="I224" s="29">
        <v>1</v>
      </c>
      <c r="J224" s="26">
        <f>VLOOKUP(C:C,'4.几何拓扑逻辑检查'!D:J,7,FALSE)</f>
        <v>14777</v>
      </c>
      <c r="K224" s="26">
        <v>0</v>
      </c>
      <c r="L224" s="30">
        <f t="shared" si="6"/>
        <v>1</v>
      </c>
      <c r="M224" s="8" t="str">
        <f t="shared" si="7"/>
        <v>是</v>
      </c>
      <c r="N224" s="26"/>
    </row>
    <row r="225" spans="1:14">
      <c r="A225" s="26">
        <v>224</v>
      </c>
      <c r="B225" s="19">
        <v>12033</v>
      </c>
      <c r="C225" s="19" t="s">
        <v>165</v>
      </c>
      <c r="D225" s="19" t="s">
        <v>167</v>
      </c>
      <c r="E225" s="26" t="s">
        <v>208</v>
      </c>
      <c r="F225" s="19" t="s">
        <v>63</v>
      </c>
      <c r="G225" s="27">
        <v>1</v>
      </c>
      <c r="H225" s="26" t="s">
        <v>101</v>
      </c>
      <c r="I225" s="29">
        <v>1</v>
      </c>
      <c r="J225" s="26">
        <f>VLOOKUP(C:C,'4.几何拓扑逻辑检查'!D:J,7,FALSE)</f>
        <v>14777</v>
      </c>
      <c r="K225" s="26">
        <v>0</v>
      </c>
      <c r="L225" s="30">
        <f t="shared" si="6"/>
        <v>1</v>
      </c>
      <c r="M225" s="8" t="str">
        <f t="shared" si="7"/>
        <v>是</v>
      </c>
      <c r="N225" s="26"/>
    </row>
    <row r="226" spans="1:14">
      <c r="A226" s="26">
        <v>225</v>
      </c>
      <c r="B226" s="19">
        <v>12034</v>
      </c>
      <c r="C226" s="19" t="s">
        <v>165</v>
      </c>
      <c r="D226" s="19" t="s">
        <v>168</v>
      </c>
      <c r="E226" s="26" t="s">
        <v>208</v>
      </c>
      <c r="F226" s="19" t="s">
        <v>63</v>
      </c>
      <c r="G226" s="27">
        <v>1</v>
      </c>
      <c r="H226" s="26" t="s">
        <v>101</v>
      </c>
      <c r="I226" s="29">
        <v>1</v>
      </c>
      <c r="J226" s="26">
        <f>VLOOKUP(C:C,'4.几何拓扑逻辑检查'!D:J,7,FALSE)</f>
        <v>14777</v>
      </c>
      <c r="K226" s="26">
        <v>0</v>
      </c>
      <c r="L226" s="30">
        <f t="shared" si="6"/>
        <v>1</v>
      </c>
      <c r="M226" s="8" t="str">
        <f t="shared" si="7"/>
        <v>是</v>
      </c>
      <c r="N226" s="26"/>
    </row>
    <row r="227" spans="1:14">
      <c r="A227" s="26">
        <v>226</v>
      </c>
      <c r="B227" s="19">
        <v>12035</v>
      </c>
      <c r="C227" s="19" t="s">
        <v>165</v>
      </c>
      <c r="D227" s="19" t="s">
        <v>170</v>
      </c>
      <c r="E227" s="26" t="s">
        <v>208</v>
      </c>
      <c r="F227" s="19" t="s">
        <v>63</v>
      </c>
      <c r="G227" s="27">
        <v>1</v>
      </c>
      <c r="H227" s="26" t="s">
        <v>101</v>
      </c>
      <c r="I227" s="29">
        <v>1</v>
      </c>
      <c r="J227" s="26">
        <f>VLOOKUP(C:C,'4.几何拓扑逻辑检查'!D:J,7,FALSE)</f>
        <v>14777</v>
      </c>
      <c r="K227" s="26">
        <v>0</v>
      </c>
      <c r="L227" s="30">
        <f t="shared" si="6"/>
        <v>1</v>
      </c>
      <c r="M227" s="8" t="str">
        <f t="shared" si="7"/>
        <v>是</v>
      </c>
      <c r="N227" s="26"/>
    </row>
    <row r="228" spans="1:14">
      <c r="A228" s="26">
        <v>227</v>
      </c>
      <c r="B228" s="19">
        <v>12036</v>
      </c>
      <c r="C228" s="19" t="s">
        <v>179</v>
      </c>
      <c r="D228" s="19" t="s">
        <v>180</v>
      </c>
      <c r="E228" s="26" t="s">
        <v>208</v>
      </c>
      <c r="F228" s="19" t="s">
        <v>63</v>
      </c>
      <c r="G228" s="27">
        <v>1</v>
      </c>
      <c r="H228" s="26" t="s">
        <v>101</v>
      </c>
      <c r="I228" s="29">
        <v>1</v>
      </c>
      <c r="J228" s="26">
        <v>31675</v>
      </c>
      <c r="K228" s="26">
        <v>0</v>
      </c>
      <c r="L228" s="30">
        <f t="shared" si="6"/>
        <v>1</v>
      </c>
      <c r="M228" s="8" t="str">
        <f t="shared" si="7"/>
        <v>是</v>
      </c>
      <c r="N228" s="26"/>
    </row>
    <row r="229" spans="1:14">
      <c r="A229" s="26">
        <v>228</v>
      </c>
      <c r="B229" s="19">
        <v>12046</v>
      </c>
      <c r="C229" s="19" t="s">
        <v>182</v>
      </c>
      <c r="D229" s="19" t="s">
        <v>166</v>
      </c>
      <c r="E229" s="26" t="s">
        <v>208</v>
      </c>
      <c r="F229" s="19" t="s">
        <v>63</v>
      </c>
      <c r="G229" s="27">
        <v>1</v>
      </c>
      <c r="H229" s="26" t="s">
        <v>101</v>
      </c>
      <c r="I229" s="29">
        <v>1</v>
      </c>
      <c r="J229" s="26">
        <f>VLOOKUP(C:C,'4.几何拓扑逻辑检查'!D:J,7,FALSE)</f>
        <v>13937</v>
      </c>
      <c r="K229" s="26">
        <v>0</v>
      </c>
      <c r="L229" s="30">
        <f t="shared" si="6"/>
        <v>1</v>
      </c>
      <c r="M229" s="8" t="str">
        <f t="shared" si="7"/>
        <v>是</v>
      </c>
      <c r="N229" s="26"/>
    </row>
    <row r="230" spans="1:14">
      <c r="A230" s="26">
        <v>229</v>
      </c>
      <c r="B230" s="19">
        <v>12047</v>
      </c>
      <c r="C230" s="19" t="s">
        <v>182</v>
      </c>
      <c r="D230" s="19" t="s">
        <v>185</v>
      </c>
      <c r="E230" s="26" t="s">
        <v>208</v>
      </c>
      <c r="F230" s="19" t="s">
        <v>63</v>
      </c>
      <c r="G230" s="27">
        <v>1</v>
      </c>
      <c r="H230" s="26" t="s">
        <v>101</v>
      </c>
      <c r="I230" s="29">
        <v>1</v>
      </c>
      <c r="J230" s="26">
        <f>VLOOKUP(C:C,'4.几何拓扑逻辑检查'!D:J,7,FALSE)</f>
        <v>13937</v>
      </c>
      <c r="K230" s="26">
        <v>0</v>
      </c>
      <c r="L230" s="30">
        <f t="shared" si="6"/>
        <v>1</v>
      </c>
      <c r="M230" s="8" t="str">
        <f t="shared" si="7"/>
        <v>是</v>
      </c>
      <c r="N230" s="26"/>
    </row>
    <row r="231" spans="1:14">
      <c r="A231" s="26">
        <v>230</v>
      </c>
      <c r="B231" s="19">
        <v>12048</v>
      </c>
      <c r="C231" s="19" t="s">
        <v>182</v>
      </c>
      <c r="D231" s="19" t="s">
        <v>186</v>
      </c>
      <c r="E231" s="26" t="s">
        <v>208</v>
      </c>
      <c r="F231" s="19" t="s">
        <v>63</v>
      </c>
      <c r="G231" s="27">
        <v>1</v>
      </c>
      <c r="H231" s="26" t="s">
        <v>101</v>
      </c>
      <c r="I231" s="29">
        <v>1</v>
      </c>
      <c r="J231" s="26">
        <f>VLOOKUP(C:C,'4.几何拓扑逻辑检查'!D:J,7,FALSE)</f>
        <v>13937</v>
      </c>
      <c r="K231" s="26">
        <v>0</v>
      </c>
      <c r="L231" s="30">
        <f t="shared" si="6"/>
        <v>1</v>
      </c>
      <c r="M231" s="8" t="str">
        <f t="shared" si="7"/>
        <v>是</v>
      </c>
      <c r="N231" s="26"/>
    </row>
    <row r="232" spans="1:14">
      <c r="A232" s="26">
        <v>231</v>
      </c>
      <c r="B232" s="19">
        <v>12049</v>
      </c>
      <c r="C232" s="32" t="s">
        <v>189</v>
      </c>
      <c r="D232" s="20" t="s">
        <v>190</v>
      </c>
      <c r="E232" s="26" t="s">
        <v>208</v>
      </c>
      <c r="F232" s="19" t="s">
        <v>63</v>
      </c>
      <c r="G232" s="27">
        <v>1</v>
      </c>
      <c r="H232" s="26" t="s">
        <v>101</v>
      </c>
      <c r="I232" s="29">
        <v>1</v>
      </c>
      <c r="J232" s="26">
        <f>VLOOKUP(C:C,'4.几何拓扑逻辑检查'!D:J,7,FALSE)</f>
        <v>14596</v>
      </c>
      <c r="K232" s="26">
        <v>0</v>
      </c>
      <c r="L232" s="30">
        <f t="shared" si="6"/>
        <v>1</v>
      </c>
      <c r="M232" s="8" t="str">
        <f t="shared" si="7"/>
        <v>是</v>
      </c>
      <c r="N232" s="26"/>
    </row>
    <row r="233" spans="1:14">
      <c r="A233" s="26">
        <v>232</v>
      </c>
      <c r="B233" s="19">
        <v>12050</v>
      </c>
      <c r="C233" s="32" t="s">
        <v>189</v>
      </c>
      <c r="D233" s="20" t="s">
        <v>191</v>
      </c>
      <c r="E233" s="26" t="s">
        <v>208</v>
      </c>
      <c r="F233" s="19" t="s">
        <v>63</v>
      </c>
      <c r="G233" s="27">
        <v>1</v>
      </c>
      <c r="H233" s="26" t="s">
        <v>101</v>
      </c>
      <c r="I233" s="29">
        <v>1</v>
      </c>
      <c r="J233" s="26">
        <f>VLOOKUP(C:C,'4.几何拓扑逻辑检查'!D:J,7,FALSE)</f>
        <v>14596</v>
      </c>
      <c r="K233" s="26">
        <v>0</v>
      </c>
      <c r="L233" s="30">
        <f t="shared" si="6"/>
        <v>1</v>
      </c>
      <c r="M233" s="8" t="str">
        <f t="shared" si="7"/>
        <v>是</v>
      </c>
      <c r="N233" s="26"/>
    </row>
    <row r="234" spans="1:14">
      <c r="A234" s="26">
        <v>233</v>
      </c>
      <c r="B234" s="19">
        <v>12051</v>
      </c>
      <c r="C234" s="20" t="s">
        <v>98</v>
      </c>
      <c r="D234" s="20" t="s">
        <v>209</v>
      </c>
      <c r="E234" s="26" t="s">
        <v>208</v>
      </c>
      <c r="F234" s="19" t="s">
        <v>63</v>
      </c>
      <c r="G234" s="27">
        <v>1</v>
      </c>
      <c r="H234" s="26" t="s">
        <v>101</v>
      </c>
      <c r="I234" s="29">
        <v>1</v>
      </c>
      <c r="J234" s="26">
        <f>VLOOKUP(C:C,'4.几何拓扑逻辑检查'!D:J,7,FALSE)</f>
        <v>39625</v>
      </c>
      <c r="K234" s="26">
        <v>0</v>
      </c>
      <c r="L234" s="30">
        <f t="shared" si="6"/>
        <v>1</v>
      </c>
      <c r="M234" s="8" t="str">
        <f t="shared" si="7"/>
        <v>是</v>
      </c>
      <c r="N234" s="26"/>
    </row>
  </sheetData>
  <autoFilter ref="A1:N234">
    <extLst/>
  </autoFilter>
  <conditionalFormatting sqref="A1:N1">
    <cfRule type="duplicateValues" dxfId="0" priority="1"/>
  </conditionalFormatting>
  <dataValidations count="1">
    <dataValidation type="list" allowBlank="1" showInputMessage="1" showErrorMessage="1" sqref="H1">
      <formula1>"L1,L2"</formula1>
    </dataValidation>
  </dataValidation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28"/>
  <sheetViews>
    <sheetView topLeftCell="C1" workbookViewId="0">
      <pane ySplit="1" topLeftCell="A2" activePane="bottomLeft" state="frozen"/>
      <selection/>
      <selection pane="bottomLeft" activeCell="O14" sqref="O14"/>
    </sheetView>
  </sheetViews>
  <sheetFormatPr defaultColWidth="8.89090909090909" defaultRowHeight="13"/>
  <cols>
    <col min="1" max="1" width="5" style="10" customWidth="1"/>
    <col min="2" max="2" width="20.1090909090909" style="11" customWidth="1"/>
    <col min="3" max="3" width="42.4545454545455" style="11" customWidth="1"/>
    <col min="4" max="4" width="18.4545454545455" style="11" customWidth="1"/>
    <col min="5" max="5" width="13.4545454545455" style="11" customWidth="1"/>
    <col min="6" max="7" width="9.10909090909091" style="11" customWidth="1"/>
    <col min="8" max="9" width="7.44545454545455" style="11" customWidth="1"/>
    <col min="10" max="10" width="10.1090909090909" style="10" customWidth="1"/>
    <col min="11" max="11" width="8" style="10" customWidth="1"/>
    <col min="12" max="12" width="12.5545454545455" style="10" customWidth="1"/>
    <col min="13" max="13" width="4" style="10" customWidth="1"/>
    <col min="14" max="16384" width="8.89090909090909" style="10"/>
  </cols>
  <sheetData>
    <row r="1" ht="14.4" customHeight="1" spans="1:13">
      <c r="A1" s="12" t="s">
        <v>44</v>
      </c>
      <c r="B1" s="13" t="s">
        <v>210</v>
      </c>
      <c r="C1" s="13" t="s">
        <v>211</v>
      </c>
      <c r="D1" s="13" t="s">
        <v>212</v>
      </c>
      <c r="E1" s="13" t="s">
        <v>213</v>
      </c>
      <c r="F1" s="14" t="s">
        <v>61</v>
      </c>
      <c r="G1" s="15" t="s">
        <v>214</v>
      </c>
      <c r="H1" s="14" t="s">
        <v>73</v>
      </c>
      <c r="I1" s="15" t="s">
        <v>74</v>
      </c>
      <c r="J1" s="21" t="s">
        <v>75</v>
      </c>
      <c r="K1" s="21" t="s">
        <v>76</v>
      </c>
      <c r="L1" s="21" t="s">
        <v>77</v>
      </c>
      <c r="M1" s="21" t="s">
        <v>78</v>
      </c>
    </row>
    <row r="2" ht="26" spans="1:13">
      <c r="A2" s="12">
        <v>1</v>
      </c>
      <c r="B2" s="16" t="s">
        <v>215</v>
      </c>
      <c r="C2" s="16" t="s">
        <v>216</v>
      </c>
      <c r="D2" s="16" t="s">
        <v>217</v>
      </c>
      <c r="E2" s="16" t="s">
        <v>194</v>
      </c>
      <c r="F2" s="16" t="s">
        <v>66</v>
      </c>
      <c r="G2" s="17">
        <v>0.98</v>
      </c>
      <c r="H2" s="16" t="s">
        <v>101</v>
      </c>
      <c r="I2" s="17">
        <v>1</v>
      </c>
      <c r="J2" s="8">
        <v>13088</v>
      </c>
      <c r="K2" s="22">
        <v>0</v>
      </c>
      <c r="L2" s="23">
        <v>1</v>
      </c>
      <c r="M2" s="8" t="s">
        <v>85</v>
      </c>
    </row>
    <row r="3" spans="1:13">
      <c r="A3" s="12">
        <v>2</v>
      </c>
      <c r="B3" s="16" t="s">
        <v>218</v>
      </c>
      <c r="C3" s="16" t="s">
        <v>219</v>
      </c>
      <c r="D3" s="16" t="s">
        <v>165</v>
      </c>
      <c r="E3" s="16" t="s">
        <v>171</v>
      </c>
      <c r="F3" s="16" t="s">
        <v>64</v>
      </c>
      <c r="G3" s="18">
        <v>0.9984</v>
      </c>
      <c r="H3" s="16" t="s">
        <v>101</v>
      </c>
      <c r="I3" s="17">
        <v>1</v>
      </c>
      <c r="J3" s="8">
        <v>14777</v>
      </c>
      <c r="K3" s="22">
        <v>0</v>
      </c>
      <c r="L3" s="23">
        <v>1</v>
      </c>
      <c r="M3" s="8" t="s">
        <v>85</v>
      </c>
    </row>
    <row r="4" s="10" customFormat="1" spans="1:13">
      <c r="A4" s="12">
        <v>3</v>
      </c>
      <c r="B4" s="16" t="s">
        <v>220</v>
      </c>
      <c r="C4" s="16" t="s">
        <v>221</v>
      </c>
      <c r="D4" s="16" t="s">
        <v>165</v>
      </c>
      <c r="E4" s="16" t="s">
        <v>99</v>
      </c>
      <c r="F4" s="16" t="s">
        <v>64</v>
      </c>
      <c r="G4" s="18">
        <v>0.9984</v>
      </c>
      <c r="H4" s="16" t="s">
        <v>101</v>
      </c>
      <c r="I4" s="17">
        <v>1</v>
      </c>
      <c r="J4" s="8">
        <v>14777</v>
      </c>
      <c r="K4" s="22">
        <v>3</v>
      </c>
      <c r="L4" s="23">
        <v>0.999796981796034</v>
      </c>
      <c r="M4" s="8" t="s">
        <v>85</v>
      </c>
    </row>
    <row r="5" s="10" customFormat="1" spans="1:13">
      <c r="A5" s="12">
        <v>4</v>
      </c>
      <c r="B5" s="16" t="s">
        <v>222</v>
      </c>
      <c r="C5" s="16" t="s">
        <v>223</v>
      </c>
      <c r="D5" s="16" t="s">
        <v>165</v>
      </c>
      <c r="E5" s="16" t="s">
        <v>99</v>
      </c>
      <c r="F5" s="16" t="s">
        <v>64</v>
      </c>
      <c r="G5" s="18">
        <v>0.9984</v>
      </c>
      <c r="H5" s="16" t="s">
        <v>101</v>
      </c>
      <c r="I5" s="17">
        <v>1</v>
      </c>
      <c r="J5" s="8">
        <v>14777</v>
      </c>
      <c r="K5" s="22">
        <v>10.9833333333333</v>
      </c>
      <c r="L5" s="23">
        <v>0.999256727797704</v>
      </c>
      <c r="M5" s="8" t="s">
        <v>85</v>
      </c>
    </row>
    <row r="6" s="10" customFormat="1" spans="1:13">
      <c r="A6" s="12">
        <v>5</v>
      </c>
      <c r="B6" s="16" t="s">
        <v>224</v>
      </c>
      <c r="C6" s="16" t="s">
        <v>225</v>
      </c>
      <c r="D6" s="16" t="s">
        <v>165</v>
      </c>
      <c r="E6" s="16" t="s">
        <v>128</v>
      </c>
      <c r="F6" s="16" t="s">
        <v>65</v>
      </c>
      <c r="G6" s="17">
        <v>0.99</v>
      </c>
      <c r="H6" s="16" t="s">
        <v>101</v>
      </c>
      <c r="I6" s="17">
        <v>1</v>
      </c>
      <c r="J6" s="8">
        <v>14777</v>
      </c>
      <c r="K6" s="22">
        <v>0</v>
      </c>
      <c r="L6" s="23">
        <v>1</v>
      </c>
      <c r="M6" s="8" t="s">
        <v>85</v>
      </c>
    </row>
    <row r="7" s="10" customFormat="1" spans="1:13">
      <c r="A7" s="12">
        <v>6</v>
      </c>
      <c r="B7" s="16" t="s">
        <v>226</v>
      </c>
      <c r="C7" s="16" t="s">
        <v>227</v>
      </c>
      <c r="D7" s="16" t="s">
        <v>165</v>
      </c>
      <c r="E7" s="16" t="s">
        <v>128</v>
      </c>
      <c r="F7" s="16" t="s">
        <v>65</v>
      </c>
      <c r="G7" s="17">
        <v>0.99</v>
      </c>
      <c r="H7" s="16" t="s">
        <v>101</v>
      </c>
      <c r="I7" s="17">
        <v>1</v>
      </c>
      <c r="J7" s="8">
        <v>14777</v>
      </c>
      <c r="K7" s="22">
        <v>0</v>
      </c>
      <c r="L7" s="23">
        <v>1</v>
      </c>
      <c r="M7" s="8" t="s">
        <v>85</v>
      </c>
    </row>
    <row r="8" s="10" customFormat="1" spans="1:13">
      <c r="A8" s="12">
        <v>7</v>
      </c>
      <c r="B8" s="16" t="s">
        <v>228</v>
      </c>
      <c r="C8" s="16" t="s">
        <v>229</v>
      </c>
      <c r="D8" s="16" t="s">
        <v>165</v>
      </c>
      <c r="E8" s="16" t="s">
        <v>128</v>
      </c>
      <c r="F8" s="16" t="s">
        <v>65</v>
      </c>
      <c r="G8" s="17">
        <v>0.99</v>
      </c>
      <c r="H8" s="16" t="s">
        <v>101</v>
      </c>
      <c r="I8" s="17">
        <v>1</v>
      </c>
      <c r="J8" s="8">
        <v>14777</v>
      </c>
      <c r="K8" s="22">
        <v>91.7857142857143</v>
      </c>
      <c r="L8" s="23">
        <v>0.993788609712004</v>
      </c>
      <c r="M8" s="8" t="s">
        <v>85</v>
      </c>
    </row>
    <row r="9" spans="1:13">
      <c r="A9" s="12">
        <v>8</v>
      </c>
      <c r="B9" s="16" t="s">
        <v>230</v>
      </c>
      <c r="C9" s="16" t="s">
        <v>231</v>
      </c>
      <c r="D9" s="16" t="s">
        <v>165</v>
      </c>
      <c r="E9" s="16" t="s">
        <v>172</v>
      </c>
      <c r="F9" s="16" t="s">
        <v>65</v>
      </c>
      <c r="G9" s="17">
        <v>0.99</v>
      </c>
      <c r="H9" s="16" t="s">
        <v>101</v>
      </c>
      <c r="I9" s="17">
        <v>1</v>
      </c>
      <c r="J9" s="8">
        <v>14777</v>
      </c>
      <c r="K9" s="22">
        <v>60.5060240963856</v>
      </c>
      <c r="L9" s="23">
        <v>0.995905391886284</v>
      </c>
      <c r="M9" s="8" t="s">
        <v>85</v>
      </c>
    </row>
    <row r="10" spans="1:13">
      <c r="A10" s="12">
        <v>9</v>
      </c>
      <c r="B10" s="16" t="s">
        <v>232</v>
      </c>
      <c r="C10" s="16" t="s">
        <v>233</v>
      </c>
      <c r="D10" s="16" t="s">
        <v>165</v>
      </c>
      <c r="E10" s="16" t="s">
        <v>172</v>
      </c>
      <c r="F10" s="16" t="s">
        <v>65</v>
      </c>
      <c r="G10" s="17">
        <v>0.99</v>
      </c>
      <c r="H10" s="16" t="s">
        <v>101</v>
      </c>
      <c r="I10" s="17">
        <v>1</v>
      </c>
      <c r="J10" s="8">
        <v>14777</v>
      </c>
      <c r="K10" s="22">
        <v>0</v>
      </c>
      <c r="L10" s="23">
        <v>1</v>
      </c>
      <c r="M10" s="8" t="s">
        <v>85</v>
      </c>
    </row>
    <row r="11" spans="1:13">
      <c r="A11" s="12">
        <v>10</v>
      </c>
      <c r="B11" s="16" t="s">
        <v>234</v>
      </c>
      <c r="C11" s="16" t="s">
        <v>235</v>
      </c>
      <c r="D11" s="16" t="s">
        <v>178</v>
      </c>
      <c r="E11" s="16" t="s">
        <v>99</v>
      </c>
      <c r="F11" s="16" t="s">
        <v>64</v>
      </c>
      <c r="G11" s="18">
        <v>0.9984</v>
      </c>
      <c r="H11" s="16" t="s">
        <v>101</v>
      </c>
      <c r="I11" s="17">
        <v>1</v>
      </c>
      <c r="J11" s="8">
        <v>14838</v>
      </c>
      <c r="K11" s="22">
        <v>17</v>
      </c>
      <c r="L11" s="23">
        <v>0.998854293031406</v>
      </c>
      <c r="M11" s="8" t="s">
        <v>85</v>
      </c>
    </row>
    <row r="12" spans="1:13">
      <c r="A12" s="12">
        <v>11</v>
      </c>
      <c r="B12" s="16" t="s">
        <v>236</v>
      </c>
      <c r="C12" s="16" t="s">
        <v>237</v>
      </c>
      <c r="D12" s="16" t="s">
        <v>178</v>
      </c>
      <c r="E12" s="16" t="s">
        <v>99</v>
      </c>
      <c r="F12" s="16" t="s">
        <v>64</v>
      </c>
      <c r="G12" s="18">
        <v>0.9984</v>
      </c>
      <c r="H12" s="16" t="s">
        <v>101</v>
      </c>
      <c r="I12" s="17">
        <v>1</v>
      </c>
      <c r="J12" s="8">
        <v>14838</v>
      </c>
      <c r="K12" s="22">
        <v>19</v>
      </c>
      <c r="L12" s="23">
        <v>0.998719503976277</v>
      </c>
      <c r="M12" s="8" t="s">
        <v>85</v>
      </c>
    </row>
    <row r="13" spans="1:13">
      <c r="A13" s="12">
        <v>12</v>
      </c>
      <c r="B13" s="16" t="s">
        <v>238</v>
      </c>
      <c r="C13" s="16" t="s">
        <v>239</v>
      </c>
      <c r="D13" s="16" t="s">
        <v>182</v>
      </c>
      <c r="E13" s="19" t="s">
        <v>99</v>
      </c>
      <c r="F13" s="16" t="s">
        <v>64</v>
      </c>
      <c r="G13" s="18">
        <v>0.9984</v>
      </c>
      <c r="H13" s="16" t="s">
        <v>101</v>
      </c>
      <c r="I13" s="17">
        <v>1</v>
      </c>
      <c r="J13" s="8">
        <v>13937</v>
      </c>
      <c r="K13" s="22">
        <v>7</v>
      </c>
      <c r="L13" s="23">
        <v>0.999497739829232</v>
      </c>
      <c r="M13" s="8" t="s">
        <v>85</v>
      </c>
    </row>
    <row r="14" ht="26" spans="1:13">
      <c r="A14" s="12">
        <v>13</v>
      </c>
      <c r="B14" s="16">
        <v>20048</v>
      </c>
      <c r="C14" s="16" t="s">
        <v>240</v>
      </c>
      <c r="D14" s="16" t="s">
        <v>137</v>
      </c>
      <c r="E14" s="16" t="s">
        <v>241</v>
      </c>
      <c r="F14" s="16" t="s">
        <v>65</v>
      </c>
      <c r="G14" s="17">
        <v>0.99</v>
      </c>
      <c r="H14" s="16" t="s">
        <v>101</v>
      </c>
      <c r="I14" s="17">
        <v>1</v>
      </c>
      <c r="J14" s="8">
        <v>39676</v>
      </c>
      <c r="K14" s="22">
        <v>321</v>
      </c>
      <c r="L14" s="23">
        <v>0.991909466680109</v>
      </c>
      <c r="M14" s="8" t="s">
        <v>85</v>
      </c>
    </row>
    <row r="15" spans="1:13">
      <c r="A15" s="12">
        <v>15</v>
      </c>
      <c r="B15" s="16" t="s">
        <v>242</v>
      </c>
      <c r="C15" s="16" t="s">
        <v>243</v>
      </c>
      <c r="D15" s="16" t="s">
        <v>135</v>
      </c>
      <c r="E15" s="16" t="s">
        <v>99</v>
      </c>
      <c r="F15" s="16" t="s">
        <v>66</v>
      </c>
      <c r="G15" s="17">
        <v>0.98</v>
      </c>
      <c r="H15" s="16" t="s">
        <v>101</v>
      </c>
      <c r="I15" s="17">
        <v>1</v>
      </c>
      <c r="J15" s="8">
        <v>1872</v>
      </c>
      <c r="K15" s="22">
        <v>0</v>
      </c>
      <c r="L15" s="23">
        <v>1</v>
      </c>
      <c r="M15" s="8" t="s">
        <v>85</v>
      </c>
    </row>
    <row r="16" spans="1:13">
      <c r="A16" s="12">
        <v>16</v>
      </c>
      <c r="B16" s="16" t="s">
        <v>244</v>
      </c>
      <c r="C16" s="16" t="s">
        <v>245</v>
      </c>
      <c r="D16" s="16" t="s">
        <v>98</v>
      </c>
      <c r="E16" s="16" t="s">
        <v>103</v>
      </c>
      <c r="F16" s="16" t="s">
        <v>64</v>
      </c>
      <c r="G16" s="18">
        <v>0.9984</v>
      </c>
      <c r="H16" s="16" t="s">
        <v>101</v>
      </c>
      <c r="I16" s="17">
        <v>1</v>
      </c>
      <c r="J16" s="8">
        <v>39625</v>
      </c>
      <c r="K16" s="22">
        <v>0</v>
      </c>
      <c r="L16" s="23">
        <v>1</v>
      </c>
      <c r="M16" s="8" t="s">
        <v>85</v>
      </c>
    </row>
    <row r="17" spans="1:13">
      <c r="A17" s="12">
        <v>17</v>
      </c>
      <c r="B17" s="16" t="s">
        <v>246</v>
      </c>
      <c r="C17" s="16" t="s">
        <v>247</v>
      </c>
      <c r="D17" s="16" t="s">
        <v>98</v>
      </c>
      <c r="E17" s="16" t="s">
        <v>104</v>
      </c>
      <c r="F17" s="16" t="s">
        <v>64</v>
      </c>
      <c r="G17" s="18">
        <v>0.9984</v>
      </c>
      <c r="H17" s="16" t="s">
        <v>101</v>
      </c>
      <c r="I17" s="17">
        <v>1</v>
      </c>
      <c r="J17" s="8">
        <v>39625</v>
      </c>
      <c r="K17" s="22">
        <v>0</v>
      </c>
      <c r="L17" s="23">
        <v>1</v>
      </c>
      <c r="M17" s="8" t="s">
        <v>85</v>
      </c>
    </row>
    <row r="18" spans="1:13">
      <c r="A18" s="12">
        <v>18</v>
      </c>
      <c r="B18" s="16" t="s">
        <v>248</v>
      </c>
      <c r="C18" s="16" t="s">
        <v>249</v>
      </c>
      <c r="D18" s="16" t="s">
        <v>98</v>
      </c>
      <c r="E18" s="16" t="s">
        <v>201</v>
      </c>
      <c r="F18" s="16" t="s">
        <v>65</v>
      </c>
      <c r="G18" s="17">
        <v>0.99</v>
      </c>
      <c r="H18" s="16" t="s">
        <v>101</v>
      </c>
      <c r="I18" s="17">
        <v>1</v>
      </c>
      <c r="J18" s="8">
        <v>39625</v>
      </c>
      <c r="K18" s="22">
        <v>0</v>
      </c>
      <c r="L18" s="23">
        <v>1</v>
      </c>
      <c r="M18" s="8" t="s">
        <v>85</v>
      </c>
    </row>
    <row r="19" spans="1:13">
      <c r="A19" s="12">
        <v>19</v>
      </c>
      <c r="B19" s="16" t="s">
        <v>250</v>
      </c>
      <c r="C19" s="16" t="s">
        <v>251</v>
      </c>
      <c r="D19" s="16" t="s">
        <v>98</v>
      </c>
      <c r="E19" s="16" t="s">
        <v>99</v>
      </c>
      <c r="F19" s="16" t="s">
        <v>64</v>
      </c>
      <c r="G19" s="18">
        <v>0.9984</v>
      </c>
      <c r="H19" s="16" t="s">
        <v>101</v>
      </c>
      <c r="I19" s="17">
        <v>1</v>
      </c>
      <c r="J19" s="8">
        <v>39625</v>
      </c>
      <c r="K19" s="22">
        <v>0</v>
      </c>
      <c r="L19" s="23">
        <v>1</v>
      </c>
      <c r="M19" s="8" t="s">
        <v>85</v>
      </c>
    </row>
    <row r="20" spans="1:13">
      <c r="A20" s="12">
        <v>20</v>
      </c>
      <c r="B20" s="16" t="s">
        <v>252</v>
      </c>
      <c r="C20" s="16" t="s">
        <v>253</v>
      </c>
      <c r="D20" s="20" t="s">
        <v>119</v>
      </c>
      <c r="E20" s="16" t="s">
        <v>99</v>
      </c>
      <c r="F20" s="16" t="s">
        <v>64</v>
      </c>
      <c r="G20" s="18">
        <v>0.9984</v>
      </c>
      <c r="H20" s="16" t="s">
        <v>101</v>
      </c>
      <c r="I20" s="17">
        <v>1</v>
      </c>
      <c r="J20" s="8">
        <v>55050</v>
      </c>
      <c r="K20" s="22">
        <v>0</v>
      </c>
      <c r="L20" s="23">
        <v>1</v>
      </c>
      <c r="M20" s="8" t="s">
        <v>85</v>
      </c>
    </row>
    <row r="21" spans="1:13">
      <c r="A21" s="12">
        <v>21</v>
      </c>
      <c r="B21" s="16" t="s">
        <v>254</v>
      </c>
      <c r="C21" s="16" t="s">
        <v>255</v>
      </c>
      <c r="D21" s="16" t="s">
        <v>130</v>
      </c>
      <c r="E21" s="16" t="s">
        <v>134</v>
      </c>
      <c r="F21" s="16" t="s">
        <v>64</v>
      </c>
      <c r="G21" s="18">
        <v>0.9984</v>
      </c>
      <c r="H21" s="16" t="s">
        <v>101</v>
      </c>
      <c r="I21" s="17">
        <v>1</v>
      </c>
      <c r="J21" s="8">
        <v>38442</v>
      </c>
      <c r="K21" s="22">
        <v>13</v>
      </c>
      <c r="L21" s="23">
        <f>1-K21/J21</f>
        <v>0.99966182820873</v>
      </c>
      <c r="M21" s="8" t="s">
        <v>85</v>
      </c>
    </row>
    <row r="22" ht="26" spans="1:13">
      <c r="A22" s="12">
        <v>22</v>
      </c>
      <c r="B22" s="16" t="s">
        <v>256</v>
      </c>
      <c r="C22" s="16" t="s">
        <v>257</v>
      </c>
      <c r="D22" s="16" t="s">
        <v>137</v>
      </c>
      <c r="E22" s="19" t="s">
        <v>140</v>
      </c>
      <c r="F22" s="16" t="s">
        <v>65</v>
      </c>
      <c r="G22" s="17">
        <v>0.99</v>
      </c>
      <c r="H22" s="16" t="s">
        <v>101</v>
      </c>
      <c r="I22" s="17">
        <v>1</v>
      </c>
      <c r="J22" s="8">
        <v>39676</v>
      </c>
      <c r="K22" s="22">
        <v>16</v>
      </c>
      <c r="L22" s="23">
        <v>0.999596733541688</v>
      </c>
      <c r="M22" s="8" t="s">
        <v>85</v>
      </c>
    </row>
    <row r="23" ht="26" spans="1:13">
      <c r="A23" s="12">
        <v>23</v>
      </c>
      <c r="B23" s="16" t="s">
        <v>258</v>
      </c>
      <c r="C23" s="16" t="s">
        <v>259</v>
      </c>
      <c r="D23" s="16" t="s">
        <v>137</v>
      </c>
      <c r="E23" s="20" t="s">
        <v>141</v>
      </c>
      <c r="F23" s="16" t="s">
        <v>65</v>
      </c>
      <c r="G23" s="17">
        <v>0.99</v>
      </c>
      <c r="H23" s="16" t="s">
        <v>101</v>
      </c>
      <c r="I23" s="17">
        <v>1</v>
      </c>
      <c r="J23" s="8">
        <v>39676</v>
      </c>
      <c r="K23" s="22">
        <v>67</v>
      </c>
      <c r="L23" s="23">
        <v>0.998311321705817</v>
      </c>
      <c r="M23" s="8" t="s">
        <v>85</v>
      </c>
    </row>
    <row r="24" spans="1:13">
      <c r="A24" s="12">
        <v>24</v>
      </c>
      <c r="B24" s="16" t="s">
        <v>260</v>
      </c>
      <c r="C24" s="16" t="s">
        <v>261</v>
      </c>
      <c r="D24" s="20" t="s">
        <v>119</v>
      </c>
      <c r="E24" s="19" t="s">
        <v>121</v>
      </c>
      <c r="F24" s="16" t="s">
        <v>65</v>
      </c>
      <c r="G24" s="17">
        <v>0.99</v>
      </c>
      <c r="H24" s="16" t="s">
        <v>101</v>
      </c>
      <c r="I24" s="17">
        <v>1</v>
      </c>
      <c r="J24" s="8">
        <v>55050</v>
      </c>
      <c r="K24" s="22">
        <v>0</v>
      </c>
      <c r="L24" s="23">
        <v>1</v>
      </c>
      <c r="M24" s="8" t="s">
        <v>85</v>
      </c>
    </row>
    <row r="25" spans="1:13">
      <c r="A25" s="12">
        <v>25</v>
      </c>
      <c r="B25" s="16" t="s">
        <v>262</v>
      </c>
      <c r="C25" s="16" t="s">
        <v>263</v>
      </c>
      <c r="D25" s="16" t="s">
        <v>153</v>
      </c>
      <c r="E25" s="16" t="s">
        <v>156</v>
      </c>
      <c r="F25" s="16" t="s">
        <v>65</v>
      </c>
      <c r="G25" s="17">
        <v>0.99</v>
      </c>
      <c r="H25" s="16" t="s">
        <v>101</v>
      </c>
      <c r="I25" s="17">
        <v>1</v>
      </c>
      <c r="J25" s="8">
        <v>194834</v>
      </c>
      <c r="K25" s="22">
        <v>93.0677966101695</v>
      </c>
      <c r="L25" s="23">
        <v>0.999522322609965</v>
      </c>
      <c r="M25" s="8" t="s">
        <v>85</v>
      </c>
    </row>
    <row r="26" spans="1:13">
      <c r="A26" s="12">
        <v>26</v>
      </c>
      <c r="B26" s="16" t="s">
        <v>264</v>
      </c>
      <c r="C26" s="16" t="s">
        <v>265</v>
      </c>
      <c r="D26" s="16" t="s">
        <v>153</v>
      </c>
      <c r="E26" s="16" t="s">
        <v>156</v>
      </c>
      <c r="F26" s="16" t="s">
        <v>65</v>
      </c>
      <c r="G26" s="17">
        <v>0.99</v>
      </c>
      <c r="H26" s="16" t="s">
        <v>101</v>
      </c>
      <c r="I26" s="17">
        <v>1</v>
      </c>
      <c r="J26" s="8">
        <v>194834</v>
      </c>
      <c r="K26" s="22">
        <v>4</v>
      </c>
      <c r="L26" s="23">
        <v>0.999979469702413</v>
      </c>
      <c r="M26" s="8" t="s">
        <v>85</v>
      </c>
    </row>
    <row r="27" ht="26" spans="1:13">
      <c r="A27" s="12">
        <v>27</v>
      </c>
      <c r="B27" s="16" t="s">
        <v>266</v>
      </c>
      <c r="C27" s="16" t="s">
        <v>267</v>
      </c>
      <c r="D27" s="16" t="s">
        <v>146</v>
      </c>
      <c r="E27" s="16" t="s">
        <v>99</v>
      </c>
      <c r="F27" s="16" t="s">
        <v>65</v>
      </c>
      <c r="G27" s="17">
        <v>0.99</v>
      </c>
      <c r="H27" s="16" t="s">
        <v>101</v>
      </c>
      <c r="I27" s="17">
        <v>1</v>
      </c>
      <c r="J27" s="8">
        <v>36039</v>
      </c>
      <c r="K27" s="22">
        <v>2.41463414634147</v>
      </c>
      <c r="L27" s="23">
        <v>0.999932999413237</v>
      </c>
      <c r="M27" s="8" t="s">
        <v>85</v>
      </c>
    </row>
    <row r="28" ht="26" spans="1:13">
      <c r="A28" s="12">
        <v>28</v>
      </c>
      <c r="B28" s="16" t="s">
        <v>268</v>
      </c>
      <c r="C28" s="16" t="s">
        <v>269</v>
      </c>
      <c r="D28" s="16" t="s">
        <v>119</v>
      </c>
      <c r="E28" s="16" t="s">
        <v>111</v>
      </c>
      <c r="F28" s="16" t="s">
        <v>65</v>
      </c>
      <c r="G28" s="17">
        <v>0.99</v>
      </c>
      <c r="H28" s="16" t="s">
        <v>101</v>
      </c>
      <c r="I28" s="17">
        <v>1</v>
      </c>
      <c r="J28" s="8">
        <v>55050</v>
      </c>
      <c r="K28" s="22">
        <v>4</v>
      </c>
      <c r="L28" s="23">
        <v>0.999927338782925</v>
      </c>
      <c r="M28" s="8" t="s">
        <v>85</v>
      </c>
    </row>
    <row r="29" spans="1:13">
      <c r="A29" s="12">
        <v>29</v>
      </c>
      <c r="B29" s="16" t="s">
        <v>270</v>
      </c>
      <c r="C29" s="16" t="s">
        <v>271</v>
      </c>
      <c r="D29" s="16" t="s">
        <v>153</v>
      </c>
      <c r="E29" s="16" t="s">
        <v>156</v>
      </c>
      <c r="F29" s="16" t="s">
        <v>65</v>
      </c>
      <c r="G29" s="17">
        <v>0.99</v>
      </c>
      <c r="H29" s="16" t="s">
        <v>101</v>
      </c>
      <c r="I29" s="17">
        <v>1</v>
      </c>
      <c r="J29" s="8">
        <v>194834</v>
      </c>
      <c r="K29" s="22">
        <v>7</v>
      </c>
      <c r="L29" s="23">
        <v>0.999964071979223</v>
      </c>
      <c r="M29" s="8" t="s">
        <v>85</v>
      </c>
    </row>
    <row r="30" ht="26" spans="1:13">
      <c r="A30" s="12">
        <v>30</v>
      </c>
      <c r="B30" s="16" t="s">
        <v>272</v>
      </c>
      <c r="C30" s="16" t="s">
        <v>273</v>
      </c>
      <c r="D30" s="16" t="s">
        <v>146</v>
      </c>
      <c r="E30" s="16" t="s">
        <v>99</v>
      </c>
      <c r="F30" s="16" t="s">
        <v>65</v>
      </c>
      <c r="G30" s="17">
        <v>0.99</v>
      </c>
      <c r="H30" s="16" t="s">
        <v>101</v>
      </c>
      <c r="I30" s="17">
        <v>1</v>
      </c>
      <c r="J30" s="8">
        <v>36039</v>
      </c>
      <c r="K30" s="22">
        <v>8.19718309859155</v>
      </c>
      <c r="L30" s="23">
        <v>0.999772546877033</v>
      </c>
      <c r="M30" s="8" t="s">
        <v>85</v>
      </c>
    </row>
    <row r="31" spans="1:13">
      <c r="A31" s="12">
        <v>31</v>
      </c>
      <c r="B31" s="16" t="s">
        <v>274</v>
      </c>
      <c r="C31" s="16" t="s">
        <v>275</v>
      </c>
      <c r="D31" s="16" t="s">
        <v>119</v>
      </c>
      <c r="E31" s="16" t="s">
        <v>120</v>
      </c>
      <c r="F31" s="16" t="s">
        <v>65</v>
      </c>
      <c r="G31" s="17">
        <v>0.99</v>
      </c>
      <c r="H31" s="16" t="s">
        <v>101</v>
      </c>
      <c r="I31" s="17">
        <v>1</v>
      </c>
      <c r="J31" s="8">
        <v>55050</v>
      </c>
      <c r="K31" s="22">
        <v>0</v>
      </c>
      <c r="L31" s="23">
        <v>1</v>
      </c>
      <c r="M31" s="8" t="s">
        <v>85</v>
      </c>
    </row>
    <row r="32" spans="1:13">
      <c r="A32" s="12">
        <v>32</v>
      </c>
      <c r="B32" s="16" t="s">
        <v>276</v>
      </c>
      <c r="C32" s="16" t="s">
        <v>277</v>
      </c>
      <c r="D32" s="16" t="s">
        <v>119</v>
      </c>
      <c r="E32" s="16" t="s">
        <v>99</v>
      </c>
      <c r="F32" s="16" t="s">
        <v>64</v>
      </c>
      <c r="G32" s="18">
        <v>0.9984</v>
      </c>
      <c r="H32" s="16" t="s">
        <v>101</v>
      </c>
      <c r="I32" s="17">
        <v>1</v>
      </c>
      <c r="J32" s="8">
        <v>55050</v>
      </c>
      <c r="K32" s="22">
        <v>0</v>
      </c>
      <c r="L32" s="23">
        <v>1</v>
      </c>
      <c r="M32" s="8" t="s">
        <v>85</v>
      </c>
    </row>
    <row r="33" ht="26" spans="1:13">
      <c r="A33" s="12">
        <v>33</v>
      </c>
      <c r="B33" s="16" t="s">
        <v>278</v>
      </c>
      <c r="C33" s="16" t="s">
        <v>279</v>
      </c>
      <c r="D33" s="16" t="s">
        <v>145</v>
      </c>
      <c r="E33" s="16" t="s">
        <v>99</v>
      </c>
      <c r="F33" s="16" t="s">
        <v>66</v>
      </c>
      <c r="G33" s="17">
        <v>0.98</v>
      </c>
      <c r="H33" s="16" t="s">
        <v>101</v>
      </c>
      <c r="I33" s="17">
        <v>1</v>
      </c>
      <c r="J33" s="8">
        <v>17737</v>
      </c>
      <c r="K33" s="22">
        <v>3</v>
      </c>
      <c r="L33" s="23">
        <v>0.999830862039804</v>
      </c>
      <c r="M33" s="8" t="s">
        <v>85</v>
      </c>
    </row>
    <row r="34" spans="1:13">
      <c r="A34" s="12">
        <v>34</v>
      </c>
      <c r="B34" s="16" t="s">
        <v>280</v>
      </c>
      <c r="C34" s="16" t="s">
        <v>281</v>
      </c>
      <c r="D34" s="16" t="s">
        <v>153</v>
      </c>
      <c r="E34" s="16" t="s">
        <v>156</v>
      </c>
      <c r="F34" s="16" t="s">
        <v>65</v>
      </c>
      <c r="G34" s="17">
        <v>0.99</v>
      </c>
      <c r="H34" s="16" t="s">
        <v>101</v>
      </c>
      <c r="I34" s="17">
        <v>1</v>
      </c>
      <c r="J34" s="8">
        <v>194834</v>
      </c>
      <c r="K34" s="22">
        <v>0</v>
      </c>
      <c r="L34" s="23">
        <v>1</v>
      </c>
      <c r="M34" s="8" t="s">
        <v>85</v>
      </c>
    </row>
    <row r="35" spans="1:13">
      <c r="A35" s="12">
        <v>35</v>
      </c>
      <c r="B35" s="16" t="s">
        <v>282</v>
      </c>
      <c r="C35" s="16" t="s">
        <v>283</v>
      </c>
      <c r="D35" s="16" t="s">
        <v>153</v>
      </c>
      <c r="E35" s="16" t="s">
        <v>156</v>
      </c>
      <c r="F35" s="16" t="s">
        <v>65</v>
      </c>
      <c r="G35" s="17">
        <v>0.99</v>
      </c>
      <c r="H35" s="16" t="s">
        <v>101</v>
      </c>
      <c r="I35" s="17">
        <v>1</v>
      </c>
      <c r="J35" s="8">
        <v>194834</v>
      </c>
      <c r="K35" s="22">
        <v>0</v>
      </c>
      <c r="L35" s="23">
        <v>1</v>
      </c>
      <c r="M35" s="8" t="s">
        <v>85</v>
      </c>
    </row>
    <row r="36" spans="1:13">
      <c r="A36" s="12">
        <v>36</v>
      </c>
      <c r="B36" s="16" t="s">
        <v>284</v>
      </c>
      <c r="C36" s="16" t="s">
        <v>285</v>
      </c>
      <c r="D36" s="16" t="s">
        <v>153</v>
      </c>
      <c r="E36" s="16" t="s">
        <v>156</v>
      </c>
      <c r="F36" s="16" t="s">
        <v>65</v>
      </c>
      <c r="G36" s="17">
        <v>0.99</v>
      </c>
      <c r="H36" s="16" t="s">
        <v>101</v>
      </c>
      <c r="I36" s="17">
        <v>1</v>
      </c>
      <c r="J36" s="8">
        <v>194834</v>
      </c>
      <c r="K36" s="22">
        <v>3.06578947368422</v>
      </c>
      <c r="L36" s="23">
        <v>0.999984264607442</v>
      </c>
      <c r="M36" s="8" t="s">
        <v>85</v>
      </c>
    </row>
    <row r="37" ht="26" spans="1:13">
      <c r="A37" s="12">
        <v>37</v>
      </c>
      <c r="B37" s="16" t="s">
        <v>286</v>
      </c>
      <c r="C37" s="16" t="s">
        <v>287</v>
      </c>
      <c r="D37" s="16" t="s">
        <v>137</v>
      </c>
      <c r="E37" s="19" t="s">
        <v>142</v>
      </c>
      <c r="F37" s="16" t="s">
        <v>65</v>
      </c>
      <c r="G37" s="17">
        <v>0.99</v>
      </c>
      <c r="H37" s="16" t="s">
        <v>101</v>
      </c>
      <c r="I37" s="17">
        <v>1</v>
      </c>
      <c r="J37" s="8">
        <v>39676</v>
      </c>
      <c r="K37" s="22">
        <v>371.432432432432</v>
      </c>
      <c r="L37" s="23">
        <v>0.990638359904415</v>
      </c>
      <c r="M37" s="8" t="s">
        <v>85</v>
      </c>
    </row>
    <row r="38" ht="26" spans="1:13">
      <c r="A38" s="12">
        <v>38</v>
      </c>
      <c r="B38" s="16" t="s">
        <v>288</v>
      </c>
      <c r="C38" s="16" t="s">
        <v>289</v>
      </c>
      <c r="D38" s="20" t="s">
        <v>119</v>
      </c>
      <c r="E38" s="19" t="s">
        <v>111</v>
      </c>
      <c r="F38" s="16" t="s">
        <v>65</v>
      </c>
      <c r="G38" s="17">
        <v>0.99</v>
      </c>
      <c r="H38" s="16" t="s">
        <v>101</v>
      </c>
      <c r="I38" s="17">
        <v>1</v>
      </c>
      <c r="J38" s="8">
        <v>55050</v>
      </c>
      <c r="K38" s="22">
        <v>0</v>
      </c>
      <c r="L38" s="23">
        <v>1</v>
      </c>
      <c r="M38" s="8" t="s">
        <v>85</v>
      </c>
    </row>
    <row r="39" ht="26" spans="1:13">
      <c r="A39" s="12">
        <v>39</v>
      </c>
      <c r="B39" s="16" t="s">
        <v>290</v>
      </c>
      <c r="C39" s="16" t="s">
        <v>291</v>
      </c>
      <c r="D39" s="20" t="s">
        <v>119</v>
      </c>
      <c r="E39" s="19" t="s">
        <v>111</v>
      </c>
      <c r="F39" s="16" t="s">
        <v>65</v>
      </c>
      <c r="G39" s="17">
        <v>0.99</v>
      </c>
      <c r="H39" s="16" t="s">
        <v>101</v>
      </c>
      <c r="I39" s="17">
        <v>1</v>
      </c>
      <c r="J39" s="8">
        <v>55050</v>
      </c>
      <c r="K39" s="22">
        <v>0</v>
      </c>
      <c r="L39" s="23">
        <v>1</v>
      </c>
      <c r="M39" s="8" t="s">
        <v>85</v>
      </c>
    </row>
    <row r="40" ht="26" spans="1:13">
      <c r="A40" s="12">
        <v>41</v>
      </c>
      <c r="B40" s="16">
        <v>20001</v>
      </c>
      <c r="C40" s="16" t="s">
        <v>292</v>
      </c>
      <c r="D40" s="16" t="s">
        <v>119</v>
      </c>
      <c r="E40" s="16" t="s">
        <v>99</v>
      </c>
      <c r="F40" s="16" t="s">
        <v>64</v>
      </c>
      <c r="G40" s="18">
        <v>0.9984</v>
      </c>
      <c r="H40" s="16" t="s">
        <v>101</v>
      </c>
      <c r="I40" s="17">
        <v>1</v>
      </c>
      <c r="J40" s="8">
        <v>55050</v>
      </c>
      <c r="K40" s="22">
        <v>0</v>
      </c>
      <c r="L40" s="23">
        <v>1</v>
      </c>
      <c r="M40" s="8" t="s">
        <v>85</v>
      </c>
    </row>
    <row r="41" ht="26" spans="1:13">
      <c r="A41" s="12">
        <v>42</v>
      </c>
      <c r="B41" s="16" t="s">
        <v>293</v>
      </c>
      <c r="C41" s="16" t="s">
        <v>294</v>
      </c>
      <c r="D41" s="20" t="s">
        <v>119</v>
      </c>
      <c r="E41" s="19" t="s">
        <v>111</v>
      </c>
      <c r="F41" s="16" t="s">
        <v>65</v>
      </c>
      <c r="G41" s="17">
        <v>0.99</v>
      </c>
      <c r="H41" s="16" t="s">
        <v>101</v>
      </c>
      <c r="I41" s="17">
        <v>1</v>
      </c>
      <c r="J41" s="8">
        <v>55050</v>
      </c>
      <c r="K41" s="22">
        <v>0</v>
      </c>
      <c r="L41" s="23">
        <v>1</v>
      </c>
      <c r="M41" s="8" t="s">
        <v>85</v>
      </c>
    </row>
    <row r="42" spans="1:13">
      <c r="A42" s="12">
        <v>43</v>
      </c>
      <c r="B42" s="16">
        <v>20012</v>
      </c>
      <c r="C42" s="16" t="s">
        <v>295</v>
      </c>
      <c r="D42" s="16" t="s">
        <v>135</v>
      </c>
      <c r="E42" s="16" t="s">
        <v>99</v>
      </c>
      <c r="F42" s="16" t="s">
        <v>66</v>
      </c>
      <c r="G42" s="17">
        <v>0.98</v>
      </c>
      <c r="H42" s="16" t="s">
        <v>101</v>
      </c>
      <c r="I42" s="17">
        <v>1</v>
      </c>
      <c r="J42" s="8">
        <v>1872</v>
      </c>
      <c r="K42" s="22">
        <v>0</v>
      </c>
      <c r="L42" s="23">
        <v>1</v>
      </c>
      <c r="M42" s="8" t="s">
        <v>85</v>
      </c>
    </row>
    <row r="43" ht="26" spans="1:13">
      <c r="A43" s="12">
        <v>45</v>
      </c>
      <c r="B43" s="16">
        <v>20015</v>
      </c>
      <c r="C43" s="16" t="s">
        <v>296</v>
      </c>
      <c r="D43" s="16" t="s">
        <v>146</v>
      </c>
      <c r="E43" s="16" t="s">
        <v>99</v>
      </c>
      <c r="F43" s="16" t="s">
        <v>65</v>
      </c>
      <c r="G43" s="17">
        <v>0.99</v>
      </c>
      <c r="H43" s="16" t="s">
        <v>101</v>
      </c>
      <c r="I43" s="17">
        <v>1</v>
      </c>
      <c r="J43" s="8">
        <v>36039</v>
      </c>
      <c r="K43" s="22">
        <v>1</v>
      </c>
      <c r="L43" s="23">
        <v>0.99997225228225</v>
      </c>
      <c r="M43" s="8" t="s">
        <v>85</v>
      </c>
    </row>
    <row r="44" ht="26" spans="1:13">
      <c r="A44" s="12">
        <v>46</v>
      </c>
      <c r="B44" s="16" t="s">
        <v>297</v>
      </c>
      <c r="C44" s="16" t="s">
        <v>298</v>
      </c>
      <c r="D44" s="20" t="s">
        <v>119</v>
      </c>
      <c r="E44" s="19" t="s">
        <v>111</v>
      </c>
      <c r="F44" s="16" t="s">
        <v>65</v>
      </c>
      <c r="G44" s="17">
        <v>0.99</v>
      </c>
      <c r="H44" s="16" t="s">
        <v>101</v>
      </c>
      <c r="I44" s="17">
        <v>1</v>
      </c>
      <c r="J44" s="8">
        <v>55050</v>
      </c>
      <c r="K44" s="22">
        <v>0</v>
      </c>
      <c r="L44" s="23">
        <v>1</v>
      </c>
      <c r="M44" s="8" t="s">
        <v>85</v>
      </c>
    </row>
    <row r="45" spans="1:13">
      <c r="A45" s="12">
        <v>47</v>
      </c>
      <c r="B45" s="16" t="s">
        <v>299</v>
      </c>
      <c r="C45" s="16" t="s">
        <v>300</v>
      </c>
      <c r="D45" s="16" t="s">
        <v>153</v>
      </c>
      <c r="E45" s="16" t="s">
        <v>156</v>
      </c>
      <c r="F45" s="16" t="s">
        <v>65</v>
      </c>
      <c r="G45" s="17">
        <v>0.99</v>
      </c>
      <c r="H45" s="16" t="s">
        <v>101</v>
      </c>
      <c r="I45" s="17">
        <v>1</v>
      </c>
      <c r="J45" s="8">
        <v>194834</v>
      </c>
      <c r="K45" s="22">
        <v>14</v>
      </c>
      <c r="L45" s="23">
        <v>0.999928143958447</v>
      </c>
      <c r="M45" s="8" t="s">
        <v>85</v>
      </c>
    </row>
    <row r="46" spans="1:13">
      <c r="A46" s="12">
        <v>48</v>
      </c>
      <c r="B46" s="16" t="s">
        <v>301</v>
      </c>
      <c r="C46" s="16" t="s">
        <v>302</v>
      </c>
      <c r="D46" s="16" t="s">
        <v>164</v>
      </c>
      <c r="E46" s="16" t="s">
        <v>157</v>
      </c>
      <c r="F46" s="16" t="s">
        <v>66</v>
      </c>
      <c r="G46" s="17">
        <v>0.98</v>
      </c>
      <c r="H46" s="16" t="s">
        <v>101</v>
      </c>
      <c r="I46" s="17">
        <v>1</v>
      </c>
      <c r="J46" s="8">
        <v>3462</v>
      </c>
      <c r="K46" s="22">
        <v>3</v>
      </c>
      <c r="L46" s="23">
        <v>0.999133448873484</v>
      </c>
      <c r="M46" s="8" t="s">
        <v>85</v>
      </c>
    </row>
    <row r="47" spans="1:13">
      <c r="A47" s="12">
        <v>49</v>
      </c>
      <c r="B47" s="16" t="s">
        <v>303</v>
      </c>
      <c r="C47" s="16" t="s">
        <v>304</v>
      </c>
      <c r="D47" s="16" t="s">
        <v>153</v>
      </c>
      <c r="E47" s="16" t="s">
        <v>156</v>
      </c>
      <c r="F47" s="16" t="s">
        <v>65</v>
      </c>
      <c r="G47" s="17">
        <v>0.99</v>
      </c>
      <c r="H47" s="16" t="s">
        <v>101</v>
      </c>
      <c r="I47" s="17">
        <v>1</v>
      </c>
      <c r="J47" s="8">
        <v>194834</v>
      </c>
      <c r="K47" s="22">
        <v>3.16666666666667</v>
      </c>
      <c r="L47" s="23">
        <v>0.999983746847744</v>
      </c>
      <c r="M47" s="8" t="s">
        <v>85</v>
      </c>
    </row>
    <row r="48" spans="1:13">
      <c r="A48" s="12">
        <v>50</v>
      </c>
      <c r="B48" s="16" t="s">
        <v>305</v>
      </c>
      <c r="C48" s="16" t="s">
        <v>306</v>
      </c>
      <c r="D48" s="16" t="s">
        <v>153</v>
      </c>
      <c r="E48" s="16" t="s">
        <v>156</v>
      </c>
      <c r="F48" s="16" t="s">
        <v>65</v>
      </c>
      <c r="G48" s="17">
        <v>0.99</v>
      </c>
      <c r="H48" s="16" t="s">
        <v>101</v>
      </c>
      <c r="I48" s="17">
        <v>1</v>
      </c>
      <c r="J48" s="8">
        <v>194834</v>
      </c>
      <c r="K48" s="22">
        <v>93.5</v>
      </c>
      <c r="L48" s="23">
        <v>0.999520104293912</v>
      </c>
      <c r="M48" s="8" t="s">
        <v>85</v>
      </c>
    </row>
    <row r="49" ht="14" spans="1:13">
      <c r="A49" s="12">
        <v>51</v>
      </c>
      <c r="B49" s="16" t="s">
        <v>307</v>
      </c>
      <c r="C49" s="16" t="s">
        <v>308</v>
      </c>
      <c r="D49" s="16" t="s">
        <v>162</v>
      </c>
      <c r="E49" s="16" t="s">
        <v>163</v>
      </c>
      <c r="F49" s="16" t="s">
        <v>66</v>
      </c>
      <c r="G49" s="17">
        <v>0.98</v>
      </c>
      <c r="H49" s="16" t="s">
        <v>101</v>
      </c>
      <c r="I49" s="17">
        <v>1</v>
      </c>
      <c r="J49" s="24">
        <v>2098</v>
      </c>
      <c r="K49" s="22">
        <v>0</v>
      </c>
      <c r="L49" s="23">
        <f>1-K49/J49</f>
        <v>1</v>
      </c>
      <c r="M49" s="8" t="s">
        <v>85</v>
      </c>
    </row>
    <row r="50" spans="1:13">
      <c r="A50" s="12">
        <v>52</v>
      </c>
      <c r="B50" s="16" t="s">
        <v>309</v>
      </c>
      <c r="C50" s="16" t="s">
        <v>310</v>
      </c>
      <c r="D50" s="16" t="s">
        <v>153</v>
      </c>
      <c r="E50" s="16" t="s">
        <v>154</v>
      </c>
      <c r="F50" s="16" t="s">
        <v>65</v>
      </c>
      <c r="G50" s="17">
        <v>0.99</v>
      </c>
      <c r="H50" s="16" t="s">
        <v>101</v>
      </c>
      <c r="I50" s="17">
        <v>1</v>
      </c>
      <c r="J50" s="8">
        <v>194834</v>
      </c>
      <c r="K50" s="22">
        <v>2</v>
      </c>
      <c r="L50" s="23">
        <v>0.999989734851207</v>
      </c>
      <c r="M50" s="8" t="s">
        <v>85</v>
      </c>
    </row>
    <row r="51" spans="1:13">
      <c r="A51" s="12">
        <v>53</v>
      </c>
      <c r="B51" s="16" t="s">
        <v>311</v>
      </c>
      <c r="C51" s="16" t="s">
        <v>312</v>
      </c>
      <c r="D51" s="16" t="s">
        <v>153</v>
      </c>
      <c r="E51" s="16" t="s">
        <v>156</v>
      </c>
      <c r="F51" s="16" t="s">
        <v>65</v>
      </c>
      <c r="G51" s="17">
        <v>0.99</v>
      </c>
      <c r="H51" s="16" t="s">
        <v>101</v>
      </c>
      <c r="I51" s="17">
        <v>1</v>
      </c>
      <c r="J51" s="8">
        <v>194834</v>
      </c>
      <c r="K51" s="22">
        <v>52.9333333333333</v>
      </c>
      <c r="L51" s="23">
        <v>0.999728315728603</v>
      </c>
      <c r="M51" s="8" t="s">
        <v>85</v>
      </c>
    </row>
    <row r="52" spans="1:13">
      <c r="A52" s="12">
        <v>54</v>
      </c>
      <c r="B52" s="16" t="s">
        <v>313</v>
      </c>
      <c r="C52" s="16" t="s">
        <v>314</v>
      </c>
      <c r="D52" s="16" t="s">
        <v>164</v>
      </c>
      <c r="E52" s="16" t="s">
        <v>127</v>
      </c>
      <c r="F52" s="16" t="s">
        <v>66</v>
      </c>
      <c r="G52" s="17">
        <v>0.98</v>
      </c>
      <c r="H52" s="16" t="s">
        <v>101</v>
      </c>
      <c r="I52" s="17">
        <v>1</v>
      </c>
      <c r="J52" s="8">
        <v>3462</v>
      </c>
      <c r="K52" s="22">
        <v>34.6666666666667</v>
      </c>
      <c r="L52" s="25">
        <v>0.98998652031581</v>
      </c>
      <c r="M52" s="8" t="s">
        <v>85</v>
      </c>
    </row>
    <row r="53" spans="1:13">
      <c r="A53" s="12">
        <v>55</v>
      </c>
      <c r="B53" s="16" t="s">
        <v>315</v>
      </c>
      <c r="C53" s="16" t="s">
        <v>316</v>
      </c>
      <c r="D53" s="16" t="s">
        <v>151</v>
      </c>
      <c r="E53" s="16" t="s">
        <v>99</v>
      </c>
      <c r="F53" s="16" t="s">
        <v>66</v>
      </c>
      <c r="G53" s="17">
        <v>0.98</v>
      </c>
      <c r="H53" s="16" t="s">
        <v>101</v>
      </c>
      <c r="I53" s="17">
        <v>1</v>
      </c>
      <c r="J53" s="8">
        <v>18111</v>
      </c>
      <c r="K53" s="22">
        <v>312.436363636364</v>
      </c>
      <c r="L53" s="23">
        <v>0.982748806601714</v>
      </c>
      <c r="M53" s="8" t="s">
        <v>85</v>
      </c>
    </row>
    <row r="54" spans="1:13">
      <c r="A54" s="12">
        <v>56</v>
      </c>
      <c r="B54" s="16" t="s">
        <v>317</v>
      </c>
      <c r="C54" s="16" t="s">
        <v>318</v>
      </c>
      <c r="D54" s="16" t="s">
        <v>153</v>
      </c>
      <c r="E54" s="16" t="s">
        <v>156</v>
      </c>
      <c r="F54" s="16" t="s">
        <v>65</v>
      </c>
      <c r="G54" s="17">
        <v>0.99</v>
      </c>
      <c r="H54" s="16" t="s">
        <v>101</v>
      </c>
      <c r="I54" s="17">
        <v>1</v>
      </c>
      <c r="J54" s="8">
        <v>194834</v>
      </c>
      <c r="K54" s="22">
        <v>3</v>
      </c>
      <c r="L54" s="23">
        <v>0.99998460227681</v>
      </c>
      <c r="M54" s="8" t="s">
        <v>85</v>
      </c>
    </row>
    <row r="55" spans="1:13">
      <c r="A55" s="12">
        <v>57</v>
      </c>
      <c r="B55" s="16" t="s">
        <v>319</v>
      </c>
      <c r="C55" s="16" t="s">
        <v>320</v>
      </c>
      <c r="D55" s="16" t="s">
        <v>153</v>
      </c>
      <c r="E55" s="16" t="s">
        <v>156</v>
      </c>
      <c r="F55" s="16" t="s">
        <v>65</v>
      </c>
      <c r="G55" s="17">
        <v>0.99</v>
      </c>
      <c r="H55" s="16" t="s">
        <v>101</v>
      </c>
      <c r="I55" s="17">
        <v>1</v>
      </c>
      <c r="J55" s="8">
        <v>194834</v>
      </c>
      <c r="K55" s="22">
        <v>0</v>
      </c>
      <c r="L55" s="23">
        <v>1</v>
      </c>
      <c r="M55" s="8" t="s">
        <v>85</v>
      </c>
    </row>
    <row r="56" spans="1:13">
      <c r="A56" s="12">
        <v>58</v>
      </c>
      <c r="B56" s="16" t="s">
        <v>321</v>
      </c>
      <c r="C56" s="16" t="s">
        <v>322</v>
      </c>
      <c r="D56" s="16" t="s">
        <v>153</v>
      </c>
      <c r="E56" s="16" t="s">
        <v>154</v>
      </c>
      <c r="F56" s="16" t="s">
        <v>65</v>
      </c>
      <c r="G56" s="17">
        <v>0.99</v>
      </c>
      <c r="H56" s="16" t="s">
        <v>101</v>
      </c>
      <c r="I56" s="17">
        <v>1</v>
      </c>
      <c r="J56" s="8">
        <v>194834</v>
      </c>
      <c r="K56" s="22">
        <v>11</v>
      </c>
      <c r="L56" s="23">
        <v>0.999943541681637</v>
      </c>
      <c r="M56" s="8" t="s">
        <v>85</v>
      </c>
    </row>
    <row r="57" spans="1:13">
      <c r="A57" s="12">
        <v>59</v>
      </c>
      <c r="B57" s="16" t="s">
        <v>323</v>
      </c>
      <c r="C57" s="16" t="s">
        <v>324</v>
      </c>
      <c r="D57" s="16" t="s">
        <v>153</v>
      </c>
      <c r="E57" s="16" t="s">
        <v>156</v>
      </c>
      <c r="F57" s="16" t="s">
        <v>65</v>
      </c>
      <c r="G57" s="17">
        <v>0.99</v>
      </c>
      <c r="H57" s="16" t="s">
        <v>101</v>
      </c>
      <c r="I57" s="17">
        <v>1</v>
      </c>
      <c r="J57" s="8">
        <v>194834</v>
      </c>
      <c r="K57" s="22">
        <v>0.999999999999999</v>
      </c>
      <c r="L57" s="23">
        <v>0.999994867425603</v>
      </c>
      <c r="M57" s="8" t="s">
        <v>85</v>
      </c>
    </row>
    <row r="58" spans="1:13">
      <c r="A58" s="12">
        <v>60</v>
      </c>
      <c r="B58" s="16" t="s">
        <v>325</v>
      </c>
      <c r="C58" s="16" t="s">
        <v>326</v>
      </c>
      <c r="D58" s="16" t="s">
        <v>153</v>
      </c>
      <c r="E58" s="16" t="s">
        <v>156</v>
      </c>
      <c r="F58" s="16" t="s">
        <v>65</v>
      </c>
      <c r="G58" s="17">
        <v>0.99</v>
      </c>
      <c r="H58" s="16" t="s">
        <v>101</v>
      </c>
      <c r="I58" s="17">
        <v>1</v>
      </c>
      <c r="J58" s="8">
        <v>194834</v>
      </c>
      <c r="K58" s="22">
        <v>0</v>
      </c>
      <c r="L58" s="23">
        <v>1</v>
      </c>
      <c r="M58" s="8" t="s">
        <v>85</v>
      </c>
    </row>
    <row r="59" spans="1:13">
      <c r="A59" s="12">
        <v>61</v>
      </c>
      <c r="B59" s="16" t="s">
        <v>327</v>
      </c>
      <c r="C59" s="16" t="s">
        <v>328</v>
      </c>
      <c r="D59" s="16" t="s">
        <v>153</v>
      </c>
      <c r="E59" s="16" t="s">
        <v>156</v>
      </c>
      <c r="F59" s="16" t="s">
        <v>65</v>
      </c>
      <c r="G59" s="17">
        <v>0.99</v>
      </c>
      <c r="H59" s="16" t="s">
        <v>101</v>
      </c>
      <c r="I59" s="17">
        <v>1</v>
      </c>
      <c r="J59" s="8">
        <v>194834</v>
      </c>
      <c r="K59" s="22">
        <v>13.7977528089888</v>
      </c>
      <c r="L59" s="23">
        <v>0.999929182007201</v>
      </c>
      <c r="M59" s="8" t="s">
        <v>85</v>
      </c>
    </row>
    <row r="60" ht="26" spans="1:13">
      <c r="A60" s="12">
        <v>62</v>
      </c>
      <c r="B60" s="16" t="s">
        <v>329</v>
      </c>
      <c r="C60" s="16" t="s">
        <v>330</v>
      </c>
      <c r="D60" s="20" t="s">
        <v>119</v>
      </c>
      <c r="E60" s="19" t="s">
        <v>111</v>
      </c>
      <c r="F60" s="16" t="s">
        <v>65</v>
      </c>
      <c r="G60" s="17">
        <v>0.99</v>
      </c>
      <c r="H60" s="16" t="s">
        <v>101</v>
      </c>
      <c r="I60" s="17">
        <v>1</v>
      </c>
      <c r="J60" s="8">
        <v>55050</v>
      </c>
      <c r="K60" s="22">
        <v>1</v>
      </c>
      <c r="L60" s="23">
        <v>0.999981834695731</v>
      </c>
      <c r="M60" s="8" t="s">
        <v>85</v>
      </c>
    </row>
    <row r="61" ht="26" spans="1:13">
      <c r="A61" s="12">
        <v>63</v>
      </c>
      <c r="B61" s="16" t="s">
        <v>331</v>
      </c>
      <c r="C61" s="16" t="s">
        <v>332</v>
      </c>
      <c r="D61" s="20" t="s">
        <v>119</v>
      </c>
      <c r="E61" s="19" t="s">
        <v>111</v>
      </c>
      <c r="F61" s="16" t="s">
        <v>65</v>
      </c>
      <c r="G61" s="17">
        <v>0.99</v>
      </c>
      <c r="H61" s="16" t="s">
        <v>101</v>
      </c>
      <c r="I61" s="17">
        <v>1</v>
      </c>
      <c r="J61" s="8">
        <v>55050</v>
      </c>
      <c r="K61" s="22">
        <v>0</v>
      </c>
      <c r="L61" s="23">
        <v>1</v>
      </c>
      <c r="M61" s="8" t="s">
        <v>85</v>
      </c>
    </row>
    <row r="62" spans="1:13">
      <c r="A62" s="12">
        <v>65</v>
      </c>
      <c r="B62" s="16" t="s">
        <v>333</v>
      </c>
      <c r="C62" s="16" t="s">
        <v>334</v>
      </c>
      <c r="D62" s="16" t="s">
        <v>153</v>
      </c>
      <c r="E62" s="16" t="s">
        <v>156</v>
      </c>
      <c r="F62" s="16" t="s">
        <v>65</v>
      </c>
      <c r="G62" s="17">
        <v>0.99</v>
      </c>
      <c r="H62" s="16" t="s">
        <v>101</v>
      </c>
      <c r="I62" s="17">
        <v>1</v>
      </c>
      <c r="J62" s="8">
        <v>194834</v>
      </c>
      <c r="K62" s="22">
        <v>2</v>
      </c>
      <c r="L62" s="23">
        <v>0.999989734851207</v>
      </c>
      <c r="M62" s="8" t="s">
        <v>85</v>
      </c>
    </row>
    <row r="63" ht="26" spans="1:13">
      <c r="A63" s="12">
        <v>66</v>
      </c>
      <c r="B63" s="16" t="s">
        <v>335</v>
      </c>
      <c r="C63" s="16" t="s">
        <v>336</v>
      </c>
      <c r="D63" s="16" t="s">
        <v>137</v>
      </c>
      <c r="E63" s="19" t="s">
        <v>142</v>
      </c>
      <c r="F63" s="16" t="s">
        <v>65</v>
      </c>
      <c r="G63" s="17">
        <v>0.99</v>
      </c>
      <c r="H63" s="16" t="s">
        <v>101</v>
      </c>
      <c r="I63" s="17">
        <v>1</v>
      </c>
      <c r="J63" s="8">
        <v>39676</v>
      </c>
      <c r="K63" s="22">
        <v>35.6181818181818</v>
      </c>
      <c r="L63" s="23">
        <v>0.999102273872916</v>
      </c>
      <c r="M63" s="8" t="s">
        <v>85</v>
      </c>
    </row>
    <row r="64" ht="26" spans="1:13">
      <c r="A64" s="12">
        <v>67</v>
      </c>
      <c r="B64" s="16" t="s">
        <v>337</v>
      </c>
      <c r="C64" s="16" t="s">
        <v>338</v>
      </c>
      <c r="D64" s="16" t="s">
        <v>137</v>
      </c>
      <c r="E64" s="19" t="s">
        <v>140</v>
      </c>
      <c r="F64" s="16" t="s">
        <v>65</v>
      </c>
      <c r="G64" s="17">
        <v>0.99</v>
      </c>
      <c r="H64" s="16" t="s">
        <v>101</v>
      </c>
      <c r="I64" s="17">
        <v>1</v>
      </c>
      <c r="J64" s="8">
        <v>39676</v>
      </c>
      <c r="K64" s="22">
        <v>95.9</v>
      </c>
      <c r="L64" s="23">
        <v>0.99758292166549</v>
      </c>
      <c r="M64" s="8" t="s">
        <v>85</v>
      </c>
    </row>
    <row r="65" ht="26" spans="1:13">
      <c r="A65" s="12">
        <v>68</v>
      </c>
      <c r="B65" s="16" t="s">
        <v>339</v>
      </c>
      <c r="C65" s="16" t="s">
        <v>340</v>
      </c>
      <c r="D65" s="16" t="s">
        <v>146</v>
      </c>
      <c r="E65" s="16" t="s">
        <v>99</v>
      </c>
      <c r="F65" s="16" t="s">
        <v>65</v>
      </c>
      <c r="G65" s="17">
        <v>0.99</v>
      </c>
      <c r="H65" s="16" t="s">
        <v>101</v>
      </c>
      <c r="I65" s="17">
        <v>1</v>
      </c>
      <c r="J65" s="8">
        <v>36039</v>
      </c>
      <c r="K65" s="22">
        <v>2</v>
      </c>
      <c r="L65" s="23">
        <v>0.9999445045645</v>
      </c>
      <c r="M65" s="8" t="s">
        <v>85</v>
      </c>
    </row>
    <row r="66" spans="1:13">
      <c r="A66" s="12">
        <v>70</v>
      </c>
      <c r="B66" s="16" t="s">
        <v>341</v>
      </c>
      <c r="C66" s="16" t="s">
        <v>342</v>
      </c>
      <c r="D66" s="16" t="s">
        <v>153</v>
      </c>
      <c r="E66" s="16" t="s">
        <v>156</v>
      </c>
      <c r="F66" s="16" t="s">
        <v>65</v>
      </c>
      <c r="G66" s="17">
        <v>0.99</v>
      </c>
      <c r="H66" s="16" t="s">
        <v>101</v>
      </c>
      <c r="I66" s="17">
        <v>1</v>
      </c>
      <c r="J66" s="8">
        <v>194834</v>
      </c>
      <c r="K66" s="22">
        <v>0</v>
      </c>
      <c r="L66" s="23">
        <v>1</v>
      </c>
      <c r="M66" s="8" t="s">
        <v>85</v>
      </c>
    </row>
    <row r="67" spans="1:13">
      <c r="A67" s="12">
        <v>71</v>
      </c>
      <c r="B67" s="16" t="s">
        <v>343</v>
      </c>
      <c r="C67" s="16" t="s">
        <v>344</v>
      </c>
      <c r="D67" s="16" t="s">
        <v>153</v>
      </c>
      <c r="E67" s="16" t="s">
        <v>154</v>
      </c>
      <c r="F67" s="16" t="s">
        <v>65</v>
      </c>
      <c r="G67" s="17">
        <v>0.99</v>
      </c>
      <c r="H67" s="16" t="s">
        <v>101</v>
      </c>
      <c r="I67" s="17">
        <v>1</v>
      </c>
      <c r="J67" s="8">
        <v>194834</v>
      </c>
      <c r="K67" s="22">
        <v>147.688073394495</v>
      </c>
      <c r="L67" s="23">
        <v>0.999241979975803</v>
      </c>
      <c r="M67" s="8" t="s">
        <v>85</v>
      </c>
    </row>
    <row r="68" spans="1:13">
      <c r="A68" s="12">
        <v>72</v>
      </c>
      <c r="B68" s="16" t="s">
        <v>345</v>
      </c>
      <c r="C68" s="16" t="s">
        <v>346</v>
      </c>
      <c r="D68" s="16" t="s">
        <v>153</v>
      </c>
      <c r="E68" s="16" t="s">
        <v>156</v>
      </c>
      <c r="F68" s="16" t="s">
        <v>65</v>
      </c>
      <c r="G68" s="17">
        <v>0.99</v>
      </c>
      <c r="H68" s="16" t="s">
        <v>101</v>
      </c>
      <c r="I68" s="17">
        <v>1</v>
      </c>
      <c r="J68" s="8">
        <v>194834</v>
      </c>
      <c r="K68" s="22">
        <v>339.230769230769</v>
      </c>
      <c r="L68" s="23">
        <v>0.998258872839285</v>
      </c>
      <c r="M68" s="8" t="s">
        <v>85</v>
      </c>
    </row>
    <row r="69" spans="1:13">
      <c r="A69" s="12">
        <v>73</v>
      </c>
      <c r="B69" s="16" t="s">
        <v>347</v>
      </c>
      <c r="C69" s="16" t="s">
        <v>348</v>
      </c>
      <c r="D69" s="20" t="s">
        <v>146</v>
      </c>
      <c r="E69" s="20" t="s">
        <v>99</v>
      </c>
      <c r="F69" s="16" t="s">
        <v>65</v>
      </c>
      <c r="G69" s="17">
        <v>0.99</v>
      </c>
      <c r="H69" s="16" t="s">
        <v>101</v>
      </c>
      <c r="I69" s="17">
        <v>1</v>
      </c>
      <c r="J69" s="8">
        <v>36039</v>
      </c>
      <c r="K69" s="22">
        <v>207.766666666667</v>
      </c>
      <c r="L69" s="23">
        <v>0.99423494917543</v>
      </c>
      <c r="M69" s="8" t="s">
        <v>85</v>
      </c>
    </row>
    <row r="70" spans="1:13">
      <c r="A70" s="12">
        <v>74</v>
      </c>
      <c r="B70" s="16" t="s">
        <v>349</v>
      </c>
      <c r="C70" s="16" t="s">
        <v>350</v>
      </c>
      <c r="D70" s="20" t="s">
        <v>146</v>
      </c>
      <c r="E70" s="20" t="s">
        <v>99</v>
      </c>
      <c r="F70" s="16" t="s">
        <v>65</v>
      </c>
      <c r="G70" s="17">
        <v>0.99</v>
      </c>
      <c r="H70" s="16" t="s">
        <v>101</v>
      </c>
      <c r="I70" s="17">
        <v>1</v>
      </c>
      <c r="J70" s="8">
        <v>36039</v>
      </c>
      <c r="K70" s="22">
        <v>46.5277777777778</v>
      </c>
      <c r="L70" s="23">
        <v>0.998708960354677</v>
      </c>
      <c r="M70" s="8" t="s">
        <v>85</v>
      </c>
    </row>
    <row r="71" ht="26" spans="1:13">
      <c r="A71" s="12">
        <v>75</v>
      </c>
      <c r="B71" s="16" t="s">
        <v>351</v>
      </c>
      <c r="C71" s="16" t="s">
        <v>352</v>
      </c>
      <c r="D71" s="16" t="s">
        <v>137</v>
      </c>
      <c r="E71" s="16" t="s">
        <v>140</v>
      </c>
      <c r="F71" s="16" t="s">
        <v>65</v>
      </c>
      <c r="G71" s="17">
        <v>0.99</v>
      </c>
      <c r="H71" s="16" t="s">
        <v>101</v>
      </c>
      <c r="I71" s="17">
        <v>1</v>
      </c>
      <c r="J71" s="8">
        <v>39676</v>
      </c>
      <c r="K71" s="22">
        <v>8.16326530612245</v>
      </c>
      <c r="L71" s="23">
        <v>0.999794251806984</v>
      </c>
      <c r="M71" s="8" t="s">
        <v>85</v>
      </c>
    </row>
    <row r="72" spans="1:13">
      <c r="A72" s="12">
        <v>76</v>
      </c>
      <c r="B72" s="16" t="s">
        <v>353</v>
      </c>
      <c r="C72" s="16" t="s">
        <v>354</v>
      </c>
      <c r="D72" s="16" t="s">
        <v>98</v>
      </c>
      <c r="E72" s="16" t="s">
        <v>355</v>
      </c>
      <c r="F72" s="16" t="s">
        <v>65</v>
      </c>
      <c r="G72" s="17">
        <v>0.99</v>
      </c>
      <c r="H72" s="16" t="s">
        <v>101</v>
      </c>
      <c r="I72" s="17">
        <v>1</v>
      </c>
      <c r="J72" s="8">
        <v>39625</v>
      </c>
      <c r="K72" s="22">
        <v>1</v>
      </c>
      <c r="L72" s="23">
        <v>0.99997476340694</v>
      </c>
      <c r="M72" s="8" t="s">
        <v>85</v>
      </c>
    </row>
    <row r="73" spans="1:13">
      <c r="A73" s="12">
        <v>77</v>
      </c>
      <c r="B73" s="16" t="s">
        <v>356</v>
      </c>
      <c r="C73" s="16" t="s">
        <v>357</v>
      </c>
      <c r="D73" s="16" t="s">
        <v>98</v>
      </c>
      <c r="E73" s="16" t="s">
        <v>355</v>
      </c>
      <c r="F73" s="16" t="s">
        <v>65</v>
      </c>
      <c r="G73" s="17">
        <v>0.99</v>
      </c>
      <c r="H73" s="16" t="s">
        <v>101</v>
      </c>
      <c r="I73" s="17">
        <v>1</v>
      </c>
      <c r="J73" s="8">
        <v>39625</v>
      </c>
      <c r="K73" s="22">
        <v>1</v>
      </c>
      <c r="L73" s="23">
        <v>0.99997476340694</v>
      </c>
      <c r="M73" s="8" t="s">
        <v>85</v>
      </c>
    </row>
    <row r="74" spans="1:13">
      <c r="A74" s="12">
        <v>78</v>
      </c>
      <c r="B74" s="16" t="s">
        <v>358</v>
      </c>
      <c r="C74" s="16" t="s">
        <v>359</v>
      </c>
      <c r="D74" s="16" t="s">
        <v>151</v>
      </c>
      <c r="E74" s="16" t="s">
        <v>196</v>
      </c>
      <c r="F74" s="16" t="s">
        <v>66</v>
      </c>
      <c r="G74" s="17">
        <v>0.98</v>
      </c>
      <c r="H74" s="16" t="s">
        <v>101</v>
      </c>
      <c r="I74" s="17">
        <v>1</v>
      </c>
      <c r="J74" s="8">
        <v>18111</v>
      </c>
      <c r="K74" s="22">
        <v>1</v>
      </c>
      <c r="L74" s="23">
        <v>0.999944784937331</v>
      </c>
      <c r="M74" s="8" t="s">
        <v>85</v>
      </c>
    </row>
    <row r="75" ht="26" spans="1:13">
      <c r="A75" s="12">
        <v>79</v>
      </c>
      <c r="B75" s="16" t="s">
        <v>360</v>
      </c>
      <c r="C75" s="16" t="s">
        <v>361</v>
      </c>
      <c r="D75" s="16" t="s">
        <v>137</v>
      </c>
      <c r="E75" s="16" t="s">
        <v>140</v>
      </c>
      <c r="F75" s="16" t="s">
        <v>65</v>
      </c>
      <c r="G75" s="17">
        <v>0.99</v>
      </c>
      <c r="H75" s="16" t="s">
        <v>101</v>
      </c>
      <c r="I75" s="17">
        <v>1</v>
      </c>
      <c r="J75" s="8">
        <v>39676</v>
      </c>
      <c r="K75" s="22">
        <v>59</v>
      </c>
      <c r="L75" s="23">
        <v>0.998512954934973</v>
      </c>
      <c r="M75" s="8" t="s">
        <v>85</v>
      </c>
    </row>
    <row r="76" ht="26" spans="1:13">
      <c r="A76" s="12">
        <v>80</v>
      </c>
      <c r="B76" s="8" t="s">
        <v>362</v>
      </c>
      <c r="C76" s="8" t="s">
        <v>363</v>
      </c>
      <c r="D76" s="16" t="s">
        <v>137</v>
      </c>
      <c r="E76" s="19" t="s">
        <v>140</v>
      </c>
      <c r="F76" s="16" t="s">
        <v>65</v>
      </c>
      <c r="G76" s="17">
        <v>0.99</v>
      </c>
      <c r="H76" s="16" t="s">
        <v>101</v>
      </c>
      <c r="I76" s="17">
        <v>1</v>
      </c>
      <c r="J76" s="8">
        <v>39676</v>
      </c>
      <c r="K76" s="22">
        <v>1</v>
      </c>
      <c r="L76" s="23">
        <v>0.999974795846356</v>
      </c>
      <c r="M76" s="8" t="s">
        <v>85</v>
      </c>
    </row>
    <row r="77" ht="26" spans="1:13">
      <c r="A77" s="12">
        <v>81</v>
      </c>
      <c r="B77" s="8" t="s">
        <v>364</v>
      </c>
      <c r="C77" s="8" t="s">
        <v>365</v>
      </c>
      <c r="D77" s="16" t="s">
        <v>98</v>
      </c>
      <c r="E77" s="16" t="s">
        <v>115</v>
      </c>
      <c r="F77" s="16" t="s">
        <v>65</v>
      </c>
      <c r="G77" s="17">
        <v>0.99</v>
      </c>
      <c r="H77" s="16" t="s">
        <v>101</v>
      </c>
      <c r="I77" s="17">
        <v>1</v>
      </c>
      <c r="J77" s="8">
        <v>39625</v>
      </c>
      <c r="K77" s="22">
        <v>0</v>
      </c>
      <c r="L77" s="23">
        <v>1</v>
      </c>
      <c r="M77" s="8" t="s">
        <v>85</v>
      </c>
    </row>
    <row r="78" ht="26" spans="1:13">
      <c r="A78" s="12">
        <v>82</v>
      </c>
      <c r="B78" s="8" t="s">
        <v>366</v>
      </c>
      <c r="C78" s="8" t="s">
        <v>367</v>
      </c>
      <c r="D78" s="16" t="s">
        <v>137</v>
      </c>
      <c r="E78" s="19" t="s">
        <v>142</v>
      </c>
      <c r="F78" s="16" t="s">
        <v>65</v>
      </c>
      <c r="G78" s="17">
        <v>0.99</v>
      </c>
      <c r="H78" s="16" t="s">
        <v>101</v>
      </c>
      <c r="I78" s="17">
        <v>1</v>
      </c>
      <c r="J78" s="8">
        <v>39676</v>
      </c>
      <c r="K78" s="22">
        <v>1</v>
      </c>
      <c r="L78" s="23">
        <v>0.999974795846356</v>
      </c>
      <c r="M78" s="8" t="s">
        <v>85</v>
      </c>
    </row>
    <row r="79" spans="1:13">
      <c r="A79" s="12">
        <v>83</v>
      </c>
      <c r="B79" s="8" t="s">
        <v>368</v>
      </c>
      <c r="C79" s="8" t="s">
        <v>369</v>
      </c>
      <c r="D79" s="19" t="s">
        <v>119</v>
      </c>
      <c r="E79" s="20" t="s">
        <v>120</v>
      </c>
      <c r="F79" s="16" t="s">
        <v>65</v>
      </c>
      <c r="G79" s="17">
        <v>0.99</v>
      </c>
      <c r="H79" s="16" t="s">
        <v>101</v>
      </c>
      <c r="I79" s="17">
        <v>1</v>
      </c>
      <c r="J79" s="8">
        <v>55050</v>
      </c>
      <c r="K79" s="22">
        <v>13.2</v>
      </c>
      <c r="L79" s="23">
        <v>0.999760217983651</v>
      </c>
      <c r="M79" s="8" t="s">
        <v>85</v>
      </c>
    </row>
    <row r="80" ht="26" spans="1:13">
      <c r="A80" s="12">
        <v>84</v>
      </c>
      <c r="B80" s="8" t="s">
        <v>370</v>
      </c>
      <c r="C80" s="8" t="s">
        <v>371</v>
      </c>
      <c r="D80" s="19" t="s">
        <v>119</v>
      </c>
      <c r="E80" s="19" t="s">
        <v>111</v>
      </c>
      <c r="F80" s="16" t="s">
        <v>65</v>
      </c>
      <c r="G80" s="17">
        <v>0.99</v>
      </c>
      <c r="H80" s="16" t="s">
        <v>101</v>
      </c>
      <c r="I80" s="17">
        <v>1</v>
      </c>
      <c r="J80" s="8">
        <v>55050</v>
      </c>
      <c r="K80" s="22">
        <v>33.2790697674419</v>
      </c>
      <c r="L80" s="23">
        <v>0.99939547557189</v>
      </c>
      <c r="M80" s="8" t="s">
        <v>85</v>
      </c>
    </row>
    <row r="81" spans="1:13">
      <c r="A81" s="12">
        <v>85</v>
      </c>
      <c r="B81" s="8" t="s">
        <v>372</v>
      </c>
      <c r="C81" s="8" t="s">
        <v>373</v>
      </c>
      <c r="D81" s="16" t="s">
        <v>153</v>
      </c>
      <c r="E81" s="16" t="s">
        <v>156</v>
      </c>
      <c r="F81" s="16" t="s">
        <v>65</v>
      </c>
      <c r="G81" s="17">
        <v>0.99</v>
      </c>
      <c r="H81" s="16" t="s">
        <v>101</v>
      </c>
      <c r="I81" s="17">
        <v>1</v>
      </c>
      <c r="J81" s="8">
        <v>194834</v>
      </c>
      <c r="K81" s="22">
        <v>0</v>
      </c>
      <c r="L81" s="23">
        <v>1</v>
      </c>
      <c r="M81" s="8" t="s">
        <v>85</v>
      </c>
    </row>
    <row r="82" ht="26" spans="1:13">
      <c r="A82" s="12">
        <v>86</v>
      </c>
      <c r="B82" s="8" t="s">
        <v>374</v>
      </c>
      <c r="C82" s="8" t="s">
        <v>375</v>
      </c>
      <c r="D82" s="16" t="s">
        <v>137</v>
      </c>
      <c r="E82" s="16" t="s">
        <v>140</v>
      </c>
      <c r="F82" s="16" t="s">
        <v>65</v>
      </c>
      <c r="G82" s="17">
        <v>0.99</v>
      </c>
      <c r="H82" s="16" t="s">
        <v>101</v>
      </c>
      <c r="I82" s="17">
        <v>1</v>
      </c>
      <c r="J82" s="8">
        <v>39676</v>
      </c>
      <c r="K82" s="22">
        <v>30.4390243902439</v>
      </c>
      <c r="L82" s="23">
        <v>0.999232810152479</v>
      </c>
      <c r="M82" s="8" t="s">
        <v>85</v>
      </c>
    </row>
    <row r="83" ht="26" spans="1:13">
      <c r="A83" s="12">
        <v>87</v>
      </c>
      <c r="B83" s="8" t="s">
        <v>376</v>
      </c>
      <c r="C83" s="8" t="s">
        <v>377</v>
      </c>
      <c r="D83" s="16" t="s">
        <v>137</v>
      </c>
      <c r="E83" s="16" t="s">
        <v>140</v>
      </c>
      <c r="F83" s="16" t="s">
        <v>65</v>
      </c>
      <c r="G83" s="17">
        <v>0.99</v>
      </c>
      <c r="H83" s="16" t="s">
        <v>101</v>
      </c>
      <c r="I83" s="17">
        <v>1</v>
      </c>
      <c r="J83" s="8">
        <v>39676</v>
      </c>
      <c r="K83" s="22">
        <v>1</v>
      </c>
      <c r="L83" s="23">
        <v>0.999974795846356</v>
      </c>
      <c r="M83" s="8" t="s">
        <v>85</v>
      </c>
    </row>
    <row r="84" spans="1:13">
      <c r="A84" s="12">
        <v>88</v>
      </c>
      <c r="B84" s="8" t="s">
        <v>378</v>
      </c>
      <c r="C84" s="8" t="s">
        <v>379</v>
      </c>
      <c r="D84" s="20" t="s">
        <v>98</v>
      </c>
      <c r="E84" s="20" t="s">
        <v>99</v>
      </c>
      <c r="F84" s="16" t="s">
        <v>64</v>
      </c>
      <c r="G84" s="18">
        <v>0.9984</v>
      </c>
      <c r="H84" s="16" t="s">
        <v>101</v>
      </c>
      <c r="I84" s="17">
        <v>1</v>
      </c>
      <c r="J84" s="8">
        <v>39625</v>
      </c>
      <c r="K84" s="22">
        <v>6.84782608695652</v>
      </c>
      <c r="L84" s="23">
        <v>0.999827184199698</v>
      </c>
      <c r="M84" s="8" t="s">
        <v>85</v>
      </c>
    </row>
    <row r="85" ht="26" spans="1:13">
      <c r="A85" s="12">
        <v>89</v>
      </c>
      <c r="B85" s="8" t="s">
        <v>380</v>
      </c>
      <c r="C85" s="8" t="s">
        <v>381</v>
      </c>
      <c r="D85" s="16" t="s">
        <v>137</v>
      </c>
      <c r="E85" s="19" t="s">
        <v>142</v>
      </c>
      <c r="F85" s="16" t="s">
        <v>65</v>
      </c>
      <c r="G85" s="17">
        <v>0.99</v>
      </c>
      <c r="H85" s="16" t="s">
        <v>101</v>
      </c>
      <c r="I85" s="17">
        <v>1</v>
      </c>
      <c r="J85" s="8">
        <v>39676</v>
      </c>
      <c r="K85" s="22">
        <v>13</v>
      </c>
      <c r="L85" s="23">
        <v>0.999672346002621</v>
      </c>
      <c r="M85" s="8" t="s">
        <v>85</v>
      </c>
    </row>
    <row r="86" ht="26" spans="1:13">
      <c r="A86" s="12">
        <v>90</v>
      </c>
      <c r="B86" s="8" t="s">
        <v>382</v>
      </c>
      <c r="C86" s="8" t="s">
        <v>383</v>
      </c>
      <c r="D86" s="16" t="s">
        <v>137</v>
      </c>
      <c r="E86" s="19" t="s">
        <v>140</v>
      </c>
      <c r="F86" s="16" t="s">
        <v>65</v>
      </c>
      <c r="G86" s="17">
        <v>0.99</v>
      </c>
      <c r="H86" s="16" t="s">
        <v>101</v>
      </c>
      <c r="I86" s="17">
        <v>1</v>
      </c>
      <c r="J86" s="8">
        <v>39676</v>
      </c>
      <c r="K86" s="22">
        <v>15</v>
      </c>
      <c r="L86" s="23">
        <v>0.999621937695332</v>
      </c>
      <c r="M86" s="8" t="s">
        <v>85</v>
      </c>
    </row>
    <row r="87" spans="1:13">
      <c r="A87" s="12">
        <v>91</v>
      </c>
      <c r="B87" s="8" t="s">
        <v>384</v>
      </c>
      <c r="C87" s="8" t="s">
        <v>385</v>
      </c>
      <c r="D87" s="16" t="s">
        <v>165</v>
      </c>
      <c r="E87" s="16" t="s">
        <v>168</v>
      </c>
      <c r="F87" s="16" t="s">
        <v>65</v>
      </c>
      <c r="G87" s="17">
        <v>0.99</v>
      </c>
      <c r="H87" s="16" t="s">
        <v>101</v>
      </c>
      <c r="I87" s="17">
        <v>1</v>
      </c>
      <c r="J87" s="8">
        <v>14777</v>
      </c>
      <c r="K87" s="22">
        <v>2</v>
      </c>
      <c r="L87" s="23">
        <v>0.99986465453069</v>
      </c>
      <c r="M87" s="8" t="s">
        <v>85</v>
      </c>
    </row>
    <row r="88" spans="1:13">
      <c r="A88" s="12">
        <v>92</v>
      </c>
      <c r="B88" s="8" t="s">
        <v>386</v>
      </c>
      <c r="C88" s="8" t="s">
        <v>387</v>
      </c>
      <c r="D88" s="16" t="s">
        <v>165</v>
      </c>
      <c r="E88" s="16" t="s">
        <v>99</v>
      </c>
      <c r="F88" s="16" t="s">
        <v>64</v>
      </c>
      <c r="G88" s="18">
        <v>0.9984</v>
      </c>
      <c r="H88" s="16" t="s">
        <v>101</v>
      </c>
      <c r="I88" s="17">
        <v>1</v>
      </c>
      <c r="J88" s="8">
        <v>14777</v>
      </c>
      <c r="K88" s="22">
        <v>3</v>
      </c>
      <c r="L88" s="23">
        <v>0.999796981796034</v>
      </c>
      <c r="M88" s="8" t="s">
        <v>85</v>
      </c>
    </row>
    <row r="89" spans="1:13">
      <c r="A89" s="12">
        <v>93</v>
      </c>
      <c r="B89" s="8" t="s">
        <v>388</v>
      </c>
      <c r="C89" s="8" t="s">
        <v>389</v>
      </c>
      <c r="D89" s="16" t="s">
        <v>165</v>
      </c>
      <c r="E89" s="16" t="s">
        <v>99</v>
      </c>
      <c r="F89" s="16" t="s">
        <v>64</v>
      </c>
      <c r="G89" s="18">
        <v>0.9984</v>
      </c>
      <c r="H89" s="16" t="s">
        <v>101</v>
      </c>
      <c r="I89" s="17">
        <v>1</v>
      </c>
      <c r="J89" s="8">
        <v>14777</v>
      </c>
      <c r="K89" s="22">
        <v>2</v>
      </c>
      <c r="L89" s="23">
        <v>0.99986465453069</v>
      </c>
      <c r="M89" s="8" t="s">
        <v>85</v>
      </c>
    </row>
    <row r="90" spans="1:13">
      <c r="A90" s="12">
        <v>94</v>
      </c>
      <c r="B90" s="8" t="s">
        <v>390</v>
      </c>
      <c r="C90" s="8" t="s">
        <v>391</v>
      </c>
      <c r="D90" s="16" t="s">
        <v>165</v>
      </c>
      <c r="E90" s="16" t="s">
        <v>128</v>
      </c>
      <c r="F90" s="16" t="s">
        <v>65</v>
      </c>
      <c r="G90" s="17">
        <v>0.99</v>
      </c>
      <c r="H90" s="16" t="s">
        <v>101</v>
      </c>
      <c r="I90" s="17">
        <v>1</v>
      </c>
      <c r="J90" s="8">
        <v>14777</v>
      </c>
      <c r="K90" s="22">
        <v>4</v>
      </c>
      <c r="L90" s="23">
        <v>0.999729309061379</v>
      </c>
      <c r="M90" s="8" t="s">
        <v>85</v>
      </c>
    </row>
    <row r="91" spans="1:13">
      <c r="A91" s="12">
        <v>95</v>
      </c>
      <c r="B91" s="8" t="s">
        <v>392</v>
      </c>
      <c r="C91" s="8" t="s">
        <v>393</v>
      </c>
      <c r="D91" s="16" t="s">
        <v>165</v>
      </c>
      <c r="E91" s="16" t="s">
        <v>128</v>
      </c>
      <c r="F91" s="16" t="s">
        <v>65</v>
      </c>
      <c r="G91" s="17">
        <v>0.99</v>
      </c>
      <c r="H91" s="16" t="s">
        <v>101</v>
      </c>
      <c r="I91" s="17">
        <v>1</v>
      </c>
      <c r="J91" s="8">
        <v>14777</v>
      </c>
      <c r="K91" s="22">
        <v>1</v>
      </c>
      <c r="L91" s="23">
        <v>0.999932327265345</v>
      </c>
      <c r="M91" s="8" t="s">
        <v>85</v>
      </c>
    </row>
    <row r="92" spans="1:13">
      <c r="A92" s="12">
        <v>96</v>
      </c>
      <c r="B92" s="8" t="s">
        <v>394</v>
      </c>
      <c r="C92" s="8" t="s">
        <v>395</v>
      </c>
      <c r="D92" s="16" t="s">
        <v>165</v>
      </c>
      <c r="E92" s="16" t="s">
        <v>167</v>
      </c>
      <c r="F92" s="16" t="s">
        <v>65</v>
      </c>
      <c r="G92" s="17">
        <v>0.99</v>
      </c>
      <c r="H92" s="16" t="s">
        <v>101</v>
      </c>
      <c r="I92" s="17">
        <v>1</v>
      </c>
      <c r="J92" s="8">
        <v>14777</v>
      </c>
      <c r="K92" s="22">
        <v>0</v>
      </c>
      <c r="L92" s="23">
        <v>1</v>
      </c>
      <c r="M92" s="8" t="s">
        <v>85</v>
      </c>
    </row>
    <row r="93" spans="1:13">
      <c r="A93" s="12">
        <v>97</v>
      </c>
      <c r="B93" s="8" t="s">
        <v>396</v>
      </c>
      <c r="C93" s="8" t="s">
        <v>397</v>
      </c>
      <c r="D93" s="16" t="s">
        <v>182</v>
      </c>
      <c r="E93" s="16" t="s">
        <v>99</v>
      </c>
      <c r="F93" s="16" t="s">
        <v>64</v>
      </c>
      <c r="G93" s="18">
        <v>0.9984</v>
      </c>
      <c r="H93" s="16" t="s">
        <v>101</v>
      </c>
      <c r="I93" s="17">
        <v>1</v>
      </c>
      <c r="J93" s="8">
        <v>13937</v>
      </c>
      <c r="K93" s="22">
        <v>2</v>
      </c>
      <c r="L93" s="23">
        <v>0.999856497094066</v>
      </c>
      <c r="M93" s="8" t="s">
        <v>85</v>
      </c>
    </row>
    <row r="94" spans="1:13">
      <c r="A94" s="12">
        <v>98</v>
      </c>
      <c r="B94" s="8" t="s">
        <v>398</v>
      </c>
      <c r="C94" s="8" t="s">
        <v>399</v>
      </c>
      <c r="D94" s="16" t="s">
        <v>182</v>
      </c>
      <c r="E94" s="16" t="s">
        <v>187</v>
      </c>
      <c r="F94" s="16" t="s">
        <v>65</v>
      </c>
      <c r="G94" s="17">
        <v>0.99</v>
      </c>
      <c r="H94" s="16" t="s">
        <v>101</v>
      </c>
      <c r="I94" s="17">
        <v>1</v>
      </c>
      <c r="J94" s="8">
        <v>13937</v>
      </c>
      <c r="K94" s="22">
        <v>1</v>
      </c>
      <c r="L94" s="23">
        <v>0.999928248547033</v>
      </c>
      <c r="M94" s="8" t="s">
        <v>85</v>
      </c>
    </row>
    <row r="95" spans="1:13">
      <c r="A95" s="12">
        <v>99</v>
      </c>
      <c r="B95" s="8" t="s">
        <v>400</v>
      </c>
      <c r="C95" s="8" t="s">
        <v>401</v>
      </c>
      <c r="D95" s="16" t="s">
        <v>189</v>
      </c>
      <c r="E95" s="16" t="s">
        <v>190</v>
      </c>
      <c r="F95" s="16" t="s">
        <v>64</v>
      </c>
      <c r="G95" s="18">
        <v>0.9984</v>
      </c>
      <c r="H95" s="16" t="s">
        <v>101</v>
      </c>
      <c r="I95" s="17">
        <v>1</v>
      </c>
      <c r="J95" s="8">
        <v>14596</v>
      </c>
      <c r="K95" s="22">
        <v>2</v>
      </c>
      <c r="L95" s="23">
        <v>0.999862976157851</v>
      </c>
      <c r="M95" s="8" t="s">
        <v>85</v>
      </c>
    </row>
    <row r="96" spans="1:13">
      <c r="A96" s="12">
        <v>100</v>
      </c>
      <c r="B96" s="8" t="s">
        <v>402</v>
      </c>
      <c r="C96" s="8" t="s">
        <v>403</v>
      </c>
      <c r="D96" s="16" t="s">
        <v>189</v>
      </c>
      <c r="E96" s="16" t="s">
        <v>190</v>
      </c>
      <c r="F96" s="16" t="s">
        <v>64</v>
      </c>
      <c r="G96" s="18">
        <v>0.9984</v>
      </c>
      <c r="H96" s="16" t="s">
        <v>101</v>
      </c>
      <c r="I96" s="17">
        <v>1</v>
      </c>
      <c r="J96" s="8">
        <v>14596</v>
      </c>
      <c r="K96" s="22">
        <v>0</v>
      </c>
      <c r="L96" s="23">
        <v>1</v>
      </c>
      <c r="M96" s="8" t="s">
        <v>85</v>
      </c>
    </row>
    <row r="97" spans="1:13">
      <c r="A97" s="12">
        <v>101</v>
      </c>
      <c r="B97" s="8">
        <v>20045</v>
      </c>
      <c r="C97" s="8" t="s">
        <v>404</v>
      </c>
      <c r="D97" s="16" t="s">
        <v>119</v>
      </c>
      <c r="E97" s="16" t="s">
        <v>123</v>
      </c>
      <c r="F97" s="16" t="s">
        <v>65</v>
      </c>
      <c r="G97" s="17">
        <v>0.99</v>
      </c>
      <c r="H97" s="16" t="s">
        <v>101</v>
      </c>
      <c r="I97" s="17">
        <v>1</v>
      </c>
      <c r="J97" s="8">
        <v>55050</v>
      </c>
      <c r="K97" s="22">
        <v>0</v>
      </c>
      <c r="L97" s="23">
        <v>1</v>
      </c>
      <c r="M97" s="8" t="s">
        <v>85</v>
      </c>
    </row>
    <row r="98" ht="26" spans="1:13">
      <c r="A98" s="12">
        <v>102</v>
      </c>
      <c r="B98" s="8" t="s">
        <v>405</v>
      </c>
      <c r="C98" s="8" t="s">
        <v>406</v>
      </c>
      <c r="D98" s="19" t="s">
        <v>119</v>
      </c>
      <c r="E98" s="19" t="s">
        <v>111</v>
      </c>
      <c r="F98" s="16" t="s">
        <v>65</v>
      </c>
      <c r="G98" s="17">
        <v>0.99</v>
      </c>
      <c r="H98" s="16" t="s">
        <v>101</v>
      </c>
      <c r="I98" s="17">
        <v>1</v>
      </c>
      <c r="J98" s="8">
        <v>55050</v>
      </c>
      <c r="K98" s="22">
        <v>2</v>
      </c>
      <c r="L98" s="23">
        <v>0.999963669391462</v>
      </c>
      <c r="M98" s="8" t="s">
        <v>85</v>
      </c>
    </row>
    <row r="99" spans="1:13">
      <c r="A99" s="12">
        <v>103</v>
      </c>
      <c r="B99" s="8" t="s">
        <v>407</v>
      </c>
      <c r="C99" s="8" t="s">
        <v>408</v>
      </c>
      <c r="D99" s="16" t="s">
        <v>98</v>
      </c>
      <c r="E99" s="16" t="s">
        <v>201</v>
      </c>
      <c r="F99" s="16" t="s">
        <v>65</v>
      </c>
      <c r="G99" s="17">
        <v>0.99</v>
      </c>
      <c r="H99" s="16" t="s">
        <v>101</v>
      </c>
      <c r="I99" s="17">
        <v>1</v>
      </c>
      <c r="J99" s="8">
        <v>39625</v>
      </c>
      <c r="K99" s="22">
        <v>0</v>
      </c>
      <c r="L99" s="23">
        <v>1</v>
      </c>
      <c r="M99" s="8" t="s">
        <v>85</v>
      </c>
    </row>
    <row r="100" spans="1:13">
      <c r="A100" s="12">
        <v>104</v>
      </c>
      <c r="B100" s="8" t="s">
        <v>409</v>
      </c>
      <c r="C100" s="8" t="s">
        <v>410</v>
      </c>
      <c r="D100" s="20" t="s">
        <v>98</v>
      </c>
      <c r="E100" s="20" t="s">
        <v>99</v>
      </c>
      <c r="F100" s="16" t="s">
        <v>64</v>
      </c>
      <c r="G100" s="18">
        <v>0.9984</v>
      </c>
      <c r="H100" s="16" t="s">
        <v>101</v>
      </c>
      <c r="I100" s="17">
        <v>1</v>
      </c>
      <c r="J100" s="8">
        <v>39625</v>
      </c>
      <c r="K100" s="22">
        <v>1</v>
      </c>
      <c r="L100" s="23">
        <v>0.99997476340694</v>
      </c>
      <c r="M100" s="8" t="s">
        <v>85</v>
      </c>
    </row>
    <row r="101" ht="26" spans="1:13">
      <c r="A101" s="12">
        <v>105</v>
      </c>
      <c r="B101" s="8" t="s">
        <v>411</v>
      </c>
      <c r="C101" s="8" t="s">
        <v>412</v>
      </c>
      <c r="D101" s="16" t="s">
        <v>137</v>
      </c>
      <c r="E101" s="16" t="s">
        <v>140</v>
      </c>
      <c r="F101" s="16" t="s">
        <v>65</v>
      </c>
      <c r="G101" s="17">
        <v>0.99</v>
      </c>
      <c r="H101" s="16" t="s">
        <v>101</v>
      </c>
      <c r="I101" s="17">
        <v>1</v>
      </c>
      <c r="J101" s="8">
        <v>39676</v>
      </c>
      <c r="K101" s="22">
        <v>0</v>
      </c>
      <c r="L101" s="23">
        <v>1</v>
      </c>
      <c r="M101" s="8" t="s">
        <v>85</v>
      </c>
    </row>
    <row r="102" ht="26" spans="1:13">
      <c r="A102" s="12">
        <v>106</v>
      </c>
      <c r="B102" s="8" t="s">
        <v>413</v>
      </c>
      <c r="C102" s="8" t="s">
        <v>414</v>
      </c>
      <c r="D102" s="16" t="s">
        <v>147</v>
      </c>
      <c r="E102" s="16" t="s">
        <v>99</v>
      </c>
      <c r="F102" s="16" t="s">
        <v>66</v>
      </c>
      <c r="G102" s="17">
        <v>0.98</v>
      </c>
      <c r="H102" s="16" t="s">
        <v>101</v>
      </c>
      <c r="I102" s="17">
        <v>1</v>
      </c>
      <c r="J102" s="8">
        <v>15250</v>
      </c>
      <c r="K102" s="22">
        <v>3</v>
      </c>
      <c r="L102" s="23">
        <v>0.999803278688525</v>
      </c>
      <c r="M102" s="8" t="s">
        <v>85</v>
      </c>
    </row>
    <row r="103" ht="14" spans="1:13">
      <c r="A103" s="12">
        <v>107</v>
      </c>
      <c r="B103" s="8" t="s">
        <v>415</v>
      </c>
      <c r="C103" s="8" t="s">
        <v>416</v>
      </c>
      <c r="D103" s="16" t="s">
        <v>162</v>
      </c>
      <c r="E103" s="16" t="s">
        <v>163</v>
      </c>
      <c r="F103" s="16" t="s">
        <v>66</v>
      </c>
      <c r="G103" s="17">
        <v>0.98</v>
      </c>
      <c r="H103" s="16" t="s">
        <v>101</v>
      </c>
      <c r="I103" s="17">
        <v>1</v>
      </c>
      <c r="J103" s="3">
        <v>2098</v>
      </c>
      <c r="K103" s="22">
        <v>0</v>
      </c>
      <c r="L103" s="23">
        <f>1-K103/J103</f>
        <v>1</v>
      </c>
      <c r="M103" s="8" t="s">
        <v>85</v>
      </c>
    </row>
    <row r="104" spans="1:13">
      <c r="A104" s="12">
        <v>108</v>
      </c>
      <c r="B104" s="8" t="s">
        <v>417</v>
      </c>
      <c r="C104" s="8" t="s">
        <v>418</v>
      </c>
      <c r="D104" s="20" t="s">
        <v>146</v>
      </c>
      <c r="E104" s="20" t="s">
        <v>99</v>
      </c>
      <c r="F104" s="16" t="s">
        <v>65</v>
      </c>
      <c r="G104" s="17">
        <v>0.99</v>
      </c>
      <c r="H104" s="16" t="s">
        <v>101</v>
      </c>
      <c r="I104" s="17">
        <v>1</v>
      </c>
      <c r="J104" s="8">
        <v>36039</v>
      </c>
      <c r="K104" s="22">
        <v>11</v>
      </c>
      <c r="L104" s="23">
        <v>0.999694775104748</v>
      </c>
      <c r="M104" s="8" t="s">
        <v>85</v>
      </c>
    </row>
    <row r="105" spans="1:13">
      <c r="A105" s="12">
        <v>109</v>
      </c>
      <c r="B105" s="8" t="s">
        <v>419</v>
      </c>
      <c r="C105" s="8" t="s">
        <v>420</v>
      </c>
      <c r="D105" s="16" t="s">
        <v>151</v>
      </c>
      <c r="E105" s="16" t="s">
        <v>196</v>
      </c>
      <c r="F105" s="16" t="s">
        <v>66</v>
      </c>
      <c r="G105" s="17">
        <v>0.98</v>
      </c>
      <c r="H105" s="16" t="s">
        <v>101</v>
      </c>
      <c r="I105" s="17">
        <v>1</v>
      </c>
      <c r="J105" s="8">
        <v>18111</v>
      </c>
      <c r="K105" s="22">
        <v>22.8</v>
      </c>
      <c r="L105" s="23">
        <v>0.998741096571145</v>
      </c>
      <c r="M105" s="8" t="s">
        <v>85</v>
      </c>
    </row>
    <row r="106" ht="26" spans="1:13">
      <c r="A106" s="12">
        <v>110</v>
      </c>
      <c r="B106" s="8" t="s">
        <v>421</v>
      </c>
      <c r="C106" s="8" t="s">
        <v>422</v>
      </c>
      <c r="D106" s="16" t="s">
        <v>137</v>
      </c>
      <c r="E106" s="16" t="s">
        <v>140</v>
      </c>
      <c r="F106" s="16" t="s">
        <v>65</v>
      </c>
      <c r="G106" s="17">
        <v>0.99</v>
      </c>
      <c r="H106" s="16" t="s">
        <v>101</v>
      </c>
      <c r="I106" s="17">
        <v>1</v>
      </c>
      <c r="J106" s="8">
        <v>39676</v>
      </c>
      <c r="K106" s="22">
        <v>44.8809523809524</v>
      </c>
      <c r="L106" s="23">
        <v>0.998868813580478</v>
      </c>
      <c r="M106" s="8" t="s">
        <v>85</v>
      </c>
    </row>
    <row r="107" spans="1:13">
      <c r="A107" s="12">
        <v>111</v>
      </c>
      <c r="B107" s="8" t="s">
        <v>423</v>
      </c>
      <c r="C107" s="8" t="s">
        <v>424</v>
      </c>
      <c r="D107" s="20" t="s">
        <v>98</v>
      </c>
      <c r="E107" s="20" t="s">
        <v>111</v>
      </c>
      <c r="F107" s="16" t="s">
        <v>65</v>
      </c>
      <c r="G107" s="17">
        <v>0.99</v>
      </c>
      <c r="H107" s="16" t="s">
        <v>101</v>
      </c>
      <c r="I107" s="17">
        <v>1</v>
      </c>
      <c r="J107" s="8">
        <v>39625</v>
      </c>
      <c r="K107" s="22">
        <v>6</v>
      </c>
      <c r="L107" s="23">
        <v>0.99984858044164</v>
      </c>
      <c r="M107" s="8" t="s">
        <v>85</v>
      </c>
    </row>
    <row r="108" ht="26" spans="1:13">
      <c r="A108" s="12">
        <v>113</v>
      </c>
      <c r="B108" s="8">
        <v>20075</v>
      </c>
      <c r="C108" s="8" t="s">
        <v>425</v>
      </c>
      <c r="D108" s="16" t="s">
        <v>146</v>
      </c>
      <c r="E108" s="16" t="s">
        <v>99</v>
      </c>
      <c r="F108" s="16" t="s">
        <v>65</v>
      </c>
      <c r="G108" s="17">
        <v>0.99</v>
      </c>
      <c r="H108" s="16" t="s">
        <v>101</v>
      </c>
      <c r="I108" s="17">
        <v>1</v>
      </c>
      <c r="J108" s="8">
        <v>36039</v>
      </c>
      <c r="K108" s="22">
        <v>0</v>
      </c>
      <c r="L108" s="23">
        <v>1</v>
      </c>
      <c r="M108" s="8" t="s">
        <v>85</v>
      </c>
    </row>
    <row r="109" spans="1:13">
      <c r="A109" s="12">
        <v>114</v>
      </c>
      <c r="B109" s="8">
        <v>20003</v>
      </c>
      <c r="C109" s="8" t="s">
        <v>426</v>
      </c>
      <c r="D109" s="16" t="s">
        <v>98</v>
      </c>
      <c r="E109" s="16" t="s">
        <v>99</v>
      </c>
      <c r="F109" s="16" t="s">
        <v>64</v>
      </c>
      <c r="G109" s="18">
        <v>0.9984</v>
      </c>
      <c r="H109" s="16" t="s">
        <v>101</v>
      </c>
      <c r="I109" s="17">
        <v>1</v>
      </c>
      <c r="J109" s="8">
        <v>39625</v>
      </c>
      <c r="K109" s="22">
        <v>0</v>
      </c>
      <c r="L109" s="23">
        <v>1</v>
      </c>
      <c r="M109" s="8" t="s">
        <v>85</v>
      </c>
    </row>
    <row r="110" spans="1:13">
      <c r="A110" s="12">
        <v>115</v>
      </c>
      <c r="B110" s="8">
        <v>20076</v>
      </c>
      <c r="C110" s="8" t="s">
        <v>427</v>
      </c>
      <c r="D110" s="20" t="s">
        <v>135</v>
      </c>
      <c r="E110" s="19" t="s">
        <v>120</v>
      </c>
      <c r="F110" s="16" t="s">
        <v>66</v>
      </c>
      <c r="G110" s="17">
        <v>0.98</v>
      </c>
      <c r="H110" s="16" t="s">
        <v>101</v>
      </c>
      <c r="I110" s="17">
        <v>1</v>
      </c>
      <c r="J110" s="8">
        <v>1872</v>
      </c>
      <c r="K110" s="22">
        <v>0</v>
      </c>
      <c r="L110" s="23">
        <v>1</v>
      </c>
      <c r="M110" s="8" t="s">
        <v>85</v>
      </c>
    </row>
    <row r="111" ht="14" spans="1:13">
      <c r="A111" s="12">
        <v>116</v>
      </c>
      <c r="B111" s="8" t="s">
        <v>428</v>
      </c>
      <c r="C111" s="8" t="s">
        <v>429</v>
      </c>
      <c r="D111" s="16" t="s">
        <v>162</v>
      </c>
      <c r="E111" s="20" t="s">
        <v>163</v>
      </c>
      <c r="F111" s="16" t="s">
        <v>66</v>
      </c>
      <c r="G111" s="17">
        <v>0.98</v>
      </c>
      <c r="H111" s="16" t="s">
        <v>101</v>
      </c>
      <c r="I111" s="17">
        <v>1</v>
      </c>
      <c r="J111" s="3">
        <v>2098</v>
      </c>
      <c r="K111" s="22">
        <v>0</v>
      </c>
      <c r="L111" s="23">
        <f>1-K111/J111</f>
        <v>1</v>
      </c>
      <c r="M111" s="8" t="s">
        <v>85</v>
      </c>
    </row>
    <row r="112" ht="26" spans="1:13">
      <c r="A112" s="12">
        <v>117</v>
      </c>
      <c r="B112" s="8" t="s">
        <v>430</v>
      </c>
      <c r="C112" s="8" t="s">
        <v>431</v>
      </c>
      <c r="D112" s="19" t="s">
        <v>119</v>
      </c>
      <c r="E112" s="19" t="s">
        <v>112</v>
      </c>
      <c r="F112" s="16" t="s">
        <v>65</v>
      </c>
      <c r="G112" s="17">
        <v>0.99</v>
      </c>
      <c r="H112" s="16" t="s">
        <v>101</v>
      </c>
      <c r="I112" s="17">
        <v>1</v>
      </c>
      <c r="J112" s="8">
        <v>55050</v>
      </c>
      <c r="K112" s="22">
        <v>9</v>
      </c>
      <c r="L112" s="23">
        <v>0.99983651226158</v>
      </c>
      <c r="M112" s="8" t="s">
        <v>85</v>
      </c>
    </row>
    <row r="113" spans="1:13">
      <c r="A113" s="12">
        <v>118</v>
      </c>
      <c r="B113" s="8" t="s">
        <v>432</v>
      </c>
      <c r="C113" s="8" t="s">
        <v>433</v>
      </c>
      <c r="D113" s="20" t="s">
        <v>98</v>
      </c>
      <c r="E113" s="20" t="s">
        <v>111</v>
      </c>
      <c r="F113" s="16" t="s">
        <v>65</v>
      </c>
      <c r="G113" s="17">
        <v>0.99</v>
      </c>
      <c r="H113" s="16" t="s">
        <v>101</v>
      </c>
      <c r="I113" s="17">
        <v>1</v>
      </c>
      <c r="J113" s="8">
        <v>39625</v>
      </c>
      <c r="K113" s="22">
        <v>0</v>
      </c>
      <c r="L113" s="23">
        <v>1</v>
      </c>
      <c r="M113" s="8" t="s">
        <v>85</v>
      </c>
    </row>
    <row r="114" ht="26" spans="1:13">
      <c r="A114" s="12">
        <v>119</v>
      </c>
      <c r="B114" s="8">
        <v>20026</v>
      </c>
      <c r="C114" s="8" t="s">
        <v>434</v>
      </c>
      <c r="D114" s="16" t="s">
        <v>146</v>
      </c>
      <c r="E114" s="19" t="s">
        <v>99</v>
      </c>
      <c r="F114" s="16" t="s">
        <v>65</v>
      </c>
      <c r="G114" s="17">
        <v>0.99</v>
      </c>
      <c r="H114" s="16" t="s">
        <v>101</v>
      </c>
      <c r="I114" s="17">
        <v>1</v>
      </c>
      <c r="J114" s="8">
        <v>36039</v>
      </c>
      <c r="K114" s="22">
        <v>1</v>
      </c>
      <c r="L114" s="23">
        <v>0.99997225228225</v>
      </c>
      <c r="M114" s="8" t="s">
        <v>85</v>
      </c>
    </row>
    <row r="115" spans="1:13">
      <c r="A115" s="12">
        <v>120</v>
      </c>
      <c r="B115" s="8" t="s">
        <v>435</v>
      </c>
      <c r="C115" s="8" t="s">
        <v>436</v>
      </c>
      <c r="D115" s="16" t="s">
        <v>135</v>
      </c>
      <c r="E115" s="16" t="s">
        <v>120</v>
      </c>
      <c r="F115" s="16" t="s">
        <v>66</v>
      </c>
      <c r="G115" s="17">
        <v>0.98</v>
      </c>
      <c r="H115" s="16" t="s">
        <v>101</v>
      </c>
      <c r="I115" s="17">
        <v>1</v>
      </c>
      <c r="J115" s="8">
        <v>1872</v>
      </c>
      <c r="K115" s="22">
        <v>0</v>
      </c>
      <c r="L115" s="23">
        <v>1</v>
      </c>
      <c r="M115" s="8" t="s">
        <v>85</v>
      </c>
    </row>
    <row r="116" spans="1:13">
      <c r="A116" s="12">
        <v>121</v>
      </c>
      <c r="B116" s="8" t="s">
        <v>437</v>
      </c>
      <c r="C116" s="8" t="s">
        <v>438</v>
      </c>
      <c r="D116" s="16" t="s">
        <v>130</v>
      </c>
      <c r="E116" s="16" t="s">
        <v>209</v>
      </c>
      <c r="F116" s="16" t="s">
        <v>64</v>
      </c>
      <c r="G116" s="18">
        <v>0.9984</v>
      </c>
      <c r="H116" s="16" t="s">
        <v>101</v>
      </c>
      <c r="I116" s="17">
        <v>1</v>
      </c>
      <c r="J116" s="8">
        <v>38442</v>
      </c>
      <c r="K116" s="22">
        <v>0</v>
      </c>
      <c r="L116" s="23">
        <v>1</v>
      </c>
      <c r="M116" s="8" t="s">
        <v>85</v>
      </c>
    </row>
    <row r="117" spans="1:13">
      <c r="A117" s="12">
        <v>122</v>
      </c>
      <c r="B117" s="8" t="s">
        <v>439</v>
      </c>
      <c r="C117" s="8" t="s">
        <v>440</v>
      </c>
      <c r="D117" s="20" t="s">
        <v>119</v>
      </c>
      <c r="E117" s="20" t="s">
        <v>120</v>
      </c>
      <c r="F117" s="16" t="s">
        <v>65</v>
      </c>
      <c r="G117" s="17">
        <v>0.99</v>
      </c>
      <c r="H117" s="16" t="s">
        <v>101</v>
      </c>
      <c r="I117" s="17">
        <v>1</v>
      </c>
      <c r="J117" s="8">
        <v>55050</v>
      </c>
      <c r="K117" s="22">
        <v>0</v>
      </c>
      <c r="L117" s="23">
        <v>1</v>
      </c>
      <c r="M117" s="8" t="s">
        <v>85</v>
      </c>
    </row>
    <row r="118" spans="1:13">
      <c r="A118" s="12">
        <v>123</v>
      </c>
      <c r="B118" s="8" t="s">
        <v>441</v>
      </c>
      <c r="C118" s="8" t="s">
        <v>442</v>
      </c>
      <c r="D118" s="20" t="s">
        <v>119</v>
      </c>
      <c r="E118" s="20" t="s">
        <v>122</v>
      </c>
      <c r="F118" s="16" t="s">
        <v>65</v>
      </c>
      <c r="G118" s="17">
        <v>0.99</v>
      </c>
      <c r="H118" s="16" t="s">
        <v>101</v>
      </c>
      <c r="I118" s="17">
        <v>1</v>
      </c>
      <c r="J118" s="8">
        <v>55050</v>
      </c>
      <c r="K118" s="22">
        <v>0</v>
      </c>
      <c r="L118" s="23">
        <v>1</v>
      </c>
      <c r="M118" s="8" t="s">
        <v>85</v>
      </c>
    </row>
    <row r="119" spans="1:13">
      <c r="A119" s="12">
        <v>124</v>
      </c>
      <c r="B119" s="8" t="s">
        <v>443</v>
      </c>
      <c r="C119" s="8" t="s">
        <v>444</v>
      </c>
      <c r="D119" s="20" t="s">
        <v>98</v>
      </c>
      <c r="E119" s="20" t="s">
        <v>99</v>
      </c>
      <c r="F119" s="16" t="s">
        <v>64</v>
      </c>
      <c r="G119" s="18">
        <v>0.9984</v>
      </c>
      <c r="H119" s="16" t="s">
        <v>101</v>
      </c>
      <c r="I119" s="17">
        <v>1</v>
      </c>
      <c r="J119" s="8">
        <v>39625</v>
      </c>
      <c r="K119" s="22">
        <v>1</v>
      </c>
      <c r="L119" s="23">
        <v>0.99997476340694</v>
      </c>
      <c r="M119" s="8" t="s">
        <v>85</v>
      </c>
    </row>
    <row r="120" ht="14" spans="1:13">
      <c r="A120" s="12">
        <v>125</v>
      </c>
      <c r="B120" s="8" t="s">
        <v>445</v>
      </c>
      <c r="C120" s="8" t="s">
        <v>446</v>
      </c>
      <c r="D120" s="16" t="s">
        <v>162</v>
      </c>
      <c r="E120" s="16" t="s">
        <v>163</v>
      </c>
      <c r="F120" s="16" t="s">
        <v>66</v>
      </c>
      <c r="G120" s="17">
        <v>0.98</v>
      </c>
      <c r="H120" s="16" t="s">
        <v>101</v>
      </c>
      <c r="I120" s="17">
        <v>1</v>
      </c>
      <c r="J120" s="3">
        <v>2098</v>
      </c>
      <c r="K120" s="22">
        <v>0</v>
      </c>
      <c r="L120" s="23">
        <f>1-K120/J120</f>
        <v>1</v>
      </c>
      <c r="M120" s="8" t="s">
        <v>85</v>
      </c>
    </row>
    <row r="121" spans="1:13">
      <c r="A121" s="12">
        <v>126</v>
      </c>
      <c r="B121" s="8">
        <v>20034</v>
      </c>
      <c r="C121" s="8" t="s">
        <v>447</v>
      </c>
      <c r="D121" s="16" t="s">
        <v>119</v>
      </c>
      <c r="E121" s="16" t="s">
        <v>99</v>
      </c>
      <c r="F121" s="16" t="s">
        <v>64</v>
      </c>
      <c r="G121" s="18">
        <v>0.9984</v>
      </c>
      <c r="H121" s="16" t="s">
        <v>101</v>
      </c>
      <c r="I121" s="17">
        <v>1</v>
      </c>
      <c r="J121" s="8">
        <v>55050</v>
      </c>
      <c r="K121" s="22">
        <v>0</v>
      </c>
      <c r="L121" s="23">
        <v>1</v>
      </c>
      <c r="M121" s="8" t="s">
        <v>85</v>
      </c>
    </row>
    <row r="122" spans="1:13">
      <c r="A122" s="12">
        <v>127</v>
      </c>
      <c r="B122" s="8">
        <v>20021</v>
      </c>
      <c r="C122" s="8" t="s">
        <v>448</v>
      </c>
      <c r="D122" s="16" t="s">
        <v>151</v>
      </c>
      <c r="E122" s="16" t="s">
        <v>99</v>
      </c>
      <c r="F122" s="16" t="s">
        <v>66</v>
      </c>
      <c r="G122" s="17">
        <v>0.98</v>
      </c>
      <c r="H122" s="16" t="s">
        <v>101</v>
      </c>
      <c r="I122" s="17">
        <v>1</v>
      </c>
      <c r="J122" s="8">
        <v>18111</v>
      </c>
      <c r="K122" s="22">
        <v>1</v>
      </c>
      <c r="L122" s="23">
        <v>0.999944784937331</v>
      </c>
      <c r="M122" s="8" t="s">
        <v>85</v>
      </c>
    </row>
    <row r="123" spans="1:13">
      <c r="A123" s="12">
        <v>128</v>
      </c>
      <c r="B123" s="8">
        <v>20050</v>
      </c>
      <c r="C123" s="8" t="s">
        <v>449</v>
      </c>
      <c r="D123" s="16" t="s">
        <v>153</v>
      </c>
      <c r="E123" s="16" t="s">
        <v>155</v>
      </c>
      <c r="F123" s="16" t="s">
        <v>65</v>
      </c>
      <c r="G123" s="17">
        <v>0.99</v>
      </c>
      <c r="H123" s="16" t="s">
        <v>101</v>
      </c>
      <c r="I123" s="17">
        <v>1</v>
      </c>
      <c r="J123" s="8">
        <v>194834</v>
      </c>
      <c r="K123" s="22">
        <v>17</v>
      </c>
      <c r="L123" s="23">
        <v>0.999912746235257</v>
      </c>
      <c r="M123" s="8" t="s">
        <v>85</v>
      </c>
    </row>
    <row r="124" spans="1:13">
      <c r="A124" s="12">
        <v>129</v>
      </c>
      <c r="B124" s="8" t="s">
        <v>450</v>
      </c>
      <c r="C124" s="8" t="s">
        <v>451</v>
      </c>
      <c r="D124" s="20" t="s">
        <v>164</v>
      </c>
      <c r="E124" s="20" t="s">
        <v>157</v>
      </c>
      <c r="F124" s="16" t="s">
        <v>66</v>
      </c>
      <c r="G124" s="17">
        <v>0.98</v>
      </c>
      <c r="H124" s="16" t="s">
        <v>101</v>
      </c>
      <c r="I124" s="17">
        <v>1</v>
      </c>
      <c r="J124" s="8">
        <v>3462</v>
      </c>
      <c r="K124" s="22">
        <v>2</v>
      </c>
      <c r="L124" s="23">
        <v>0.999422299248989</v>
      </c>
      <c r="M124" s="8" t="s">
        <v>85</v>
      </c>
    </row>
    <row r="125" ht="26" spans="1:13">
      <c r="A125" s="12">
        <v>130</v>
      </c>
      <c r="B125" s="8" t="s">
        <v>452</v>
      </c>
      <c r="C125" s="8" t="s">
        <v>453</v>
      </c>
      <c r="D125" s="16" t="s">
        <v>147</v>
      </c>
      <c r="E125" s="16" t="s">
        <v>99</v>
      </c>
      <c r="F125" s="16" t="s">
        <v>66</v>
      </c>
      <c r="G125" s="17">
        <v>0.98</v>
      </c>
      <c r="H125" s="16" t="s">
        <v>101</v>
      </c>
      <c r="I125" s="17">
        <v>1</v>
      </c>
      <c r="J125" s="8">
        <v>15250</v>
      </c>
      <c r="K125" s="22">
        <v>0</v>
      </c>
      <c r="L125" s="23">
        <v>1</v>
      </c>
      <c r="M125" s="8" t="s">
        <v>85</v>
      </c>
    </row>
    <row r="126" ht="26" spans="1:13">
      <c r="A126" s="12">
        <v>131</v>
      </c>
      <c r="B126" s="8" t="s">
        <v>454</v>
      </c>
      <c r="C126" s="8" t="s">
        <v>455</v>
      </c>
      <c r="D126" s="16" t="s">
        <v>137</v>
      </c>
      <c r="E126" s="16" t="s">
        <v>140</v>
      </c>
      <c r="F126" s="16" t="s">
        <v>65</v>
      </c>
      <c r="G126" s="17">
        <v>0.99</v>
      </c>
      <c r="H126" s="16" t="s">
        <v>101</v>
      </c>
      <c r="I126" s="17">
        <v>1</v>
      </c>
      <c r="J126" s="8">
        <v>39676</v>
      </c>
      <c r="K126" s="22">
        <v>12</v>
      </c>
      <c r="L126" s="23">
        <v>0.999697550156266</v>
      </c>
      <c r="M126" s="8" t="s">
        <v>85</v>
      </c>
    </row>
    <row r="127" ht="26" spans="1:13">
      <c r="A127" s="12">
        <v>132</v>
      </c>
      <c r="B127" s="8" t="s">
        <v>456</v>
      </c>
      <c r="C127" s="8" t="s">
        <v>457</v>
      </c>
      <c r="D127" s="16" t="s">
        <v>137</v>
      </c>
      <c r="E127" s="16" t="s">
        <v>140</v>
      </c>
      <c r="F127" s="16" t="s">
        <v>65</v>
      </c>
      <c r="G127" s="17">
        <v>0.99</v>
      </c>
      <c r="H127" s="16" t="s">
        <v>101</v>
      </c>
      <c r="I127" s="17">
        <v>1</v>
      </c>
      <c r="J127" s="8">
        <v>39676</v>
      </c>
      <c r="K127" s="22">
        <v>5</v>
      </c>
      <c r="L127" s="23">
        <v>0.999873979231777</v>
      </c>
      <c r="M127" s="8" t="s">
        <v>85</v>
      </c>
    </row>
    <row r="128" spans="10:10">
      <c r="J128" s="11"/>
    </row>
  </sheetData>
  <autoFilter ref="A1:M127">
    <extLst/>
  </autoFilter>
  <conditionalFormatting sqref="F1:I1">
    <cfRule type="duplicateValues" dxfId="2" priority="1"/>
  </conditionalFormatting>
  <conditionalFormatting sqref="B$1:B$1048576">
    <cfRule type="duplicateValues" dxfId="0" priority="2"/>
  </conditionalFormatting>
  <dataValidations count="1">
    <dataValidation type="list" allowBlank="1" showInputMessage="1" showErrorMessage="1" sqref="G1">
      <formula1>"L1,L2"</formula1>
    </dataValidation>
  </dataValidation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1"/>
  <sheetViews>
    <sheetView topLeftCell="A28" workbookViewId="0">
      <selection activeCell="D55" sqref="D55"/>
    </sheetView>
  </sheetViews>
  <sheetFormatPr defaultColWidth="9" defaultRowHeight="14"/>
  <cols>
    <col min="1" max="1" width="5.66363636363636" customWidth="1"/>
    <col min="2" max="3" width="27.6636363636364" customWidth="1"/>
    <col min="4" max="4" width="50.1090909090909" customWidth="1"/>
    <col min="6" max="6" width="12" customWidth="1"/>
    <col min="7" max="7" width="13" customWidth="1"/>
    <col min="8" max="8" width="15.2181818181818" customWidth="1"/>
    <col min="9" max="9" width="12.8909090909091" style="1"/>
  </cols>
  <sheetData>
    <row r="1" spans="1:10">
      <c r="A1" s="2" t="s">
        <v>44</v>
      </c>
      <c r="B1" s="2" t="s">
        <v>212</v>
      </c>
      <c r="C1" s="2" t="s">
        <v>458</v>
      </c>
      <c r="D1" s="2" t="s">
        <v>459</v>
      </c>
      <c r="E1" s="2" t="s">
        <v>460</v>
      </c>
      <c r="F1" s="2" t="s">
        <v>62</v>
      </c>
      <c r="G1" s="2" t="s">
        <v>461</v>
      </c>
      <c r="H1" s="2" t="s">
        <v>462</v>
      </c>
      <c r="I1" s="6" t="s">
        <v>77</v>
      </c>
      <c r="J1" s="2" t="s">
        <v>78</v>
      </c>
    </row>
    <row r="2" spans="1:10">
      <c r="A2" s="3">
        <v>1</v>
      </c>
      <c r="B2" s="3" t="s">
        <v>463</v>
      </c>
      <c r="C2" s="3" t="s">
        <v>464</v>
      </c>
      <c r="D2" s="3" t="s">
        <v>465</v>
      </c>
      <c r="E2" s="3" t="s">
        <v>65</v>
      </c>
      <c r="F2" s="4">
        <v>0.99</v>
      </c>
      <c r="G2" s="3">
        <v>56887</v>
      </c>
      <c r="H2" s="3">
        <v>551</v>
      </c>
      <c r="I2" s="7">
        <f t="shared" ref="I2:I15" si="0">1-H2/G2</f>
        <v>0.990314131523898</v>
      </c>
      <c r="J2" s="8" t="str">
        <f>IF(I2&gt;=F2,"是","否")</f>
        <v>是</v>
      </c>
    </row>
    <row r="3" spans="1:10">
      <c r="A3" s="3">
        <v>2</v>
      </c>
      <c r="B3" s="3" t="s">
        <v>463</v>
      </c>
      <c r="C3" s="3" t="s">
        <v>466</v>
      </c>
      <c r="D3" s="3" t="s">
        <v>467</v>
      </c>
      <c r="E3" s="3" t="s">
        <v>65</v>
      </c>
      <c r="F3" s="4">
        <v>0.99</v>
      </c>
      <c r="G3" s="3">
        <v>56887</v>
      </c>
      <c r="H3" s="3">
        <v>1</v>
      </c>
      <c r="I3" s="7">
        <f t="shared" si="0"/>
        <v>0.999982421291332</v>
      </c>
      <c r="J3" s="8" t="str">
        <f t="shared" ref="J3:J34" si="1">IF(I3&gt;=F3,"是","否")</f>
        <v>是</v>
      </c>
    </row>
    <row r="4" spans="1:10">
      <c r="A4" s="3">
        <v>3</v>
      </c>
      <c r="B4" s="3" t="s">
        <v>463</v>
      </c>
      <c r="C4" s="3" t="s">
        <v>468</v>
      </c>
      <c r="D4" s="3" t="s">
        <v>469</v>
      </c>
      <c r="E4" s="3" t="s">
        <v>65</v>
      </c>
      <c r="F4" s="4">
        <v>0.99</v>
      </c>
      <c r="G4" s="3">
        <v>56887</v>
      </c>
      <c r="H4" s="3">
        <v>59</v>
      </c>
      <c r="I4" s="7">
        <f t="shared" si="0"/>
        <v>0.998962856188584</v>
      </c>
      <c r="J4" s="8" t="str">
        <f t="shared" si="1"/>
        <v>是</v>
      </c>
    </row>
    <row r="5" spans="1:10">
      <c r="A5" s="3">
        <v>4</v>
      </c>
      <c r="B5" s="3" t="s">
        <v>463</v>
      </c>
      <c r="C5" s="3" t="s">
        <v>470</v>
      </c>
      <c r="D5" s="3" t="s">
        <v>471</v>
      </c>
      <c r="E5" s="3" t="s">
        <v>65</v>
      </c>
      <c r="F5" s="4">
        <v>0.99</v>
      </c>
      <c r="G5" s="3">
        <v>56887</v>
      </c>
      <c r="H5" s="3">
        <v>98</v>
      </c>
      <c r="I5" s="7">
        <f t="shared" si="0"/>
        <v>0.99827728655053</v>
      </c>
      <c r="J5" s="8" t="str">
        <f t="shared" si="1"/>
        <v>是</v>
      </c>
    </row>
    <row r="6" spans="1:10">
      <c r="A6" s="3">
        <v>5</v>
      </c>
      <c r="B6" s="3" t="s">
        <v>463</v>
      </c>
      <c r="C6" s="3" t="s">
        <v>472</v>
      </c>
      <c r="D6" s="3" t="s">
        <v>473</v>
      </c>
      <c r="E6" s="3" t="s">
        <v>65</v>
      </c>
      <c r="F6" s="4">
        <v>0.99</v>
      </c>
      <c r="G6" s="3">
        <v>56887</v>
      </c>
      <c r="H6" s="3">
        <v>66</v>
      </c>
      <c r="I6" s="7">
        <f t="shared" si="0"/>
        <v>0.998839805227908</v>
      </c>
      <c r="J6" s="8" t="str">
        <f t="shared" si="1"/>
        <v>是</v>
      </c>
    </row>
    <row r="7" spans="1:10">
      <c r="A7" s="3">
        <v>6</v>
      </c>
      <c r="B7" s="3" t="s">
        <v>463</v>
      </c>
      <c r="C7" s="3" t="s">
        <v>474</v>
      </c>
      <c r="D7" s="3" t="s">
        <v>475</v>
      </c>
      <c r="E7" s="3" t="s">
        <v>65</v>
      </c>
      <c r="F7" s="4">
        <v>0.99</v>
      </c>
      <c r="G7" s="3">
        <v>56887</v>
      </c>
      <c r="H7" s="3">
        <v>48</v>
      </c>
      <c r="I7" s="7">
        <f t="shared" si="0"/>
        <v>0.999156221983933</v>
      </c>
      <c r="J7" s="8" t="str">
        <f t="shared" si="1"/>
        <v>是</v>
      </c>
    </row>
    <row r="8" spans="1:10">
      <c r="A8" s="3">
        <v>7</v>
      </c>
      <c r="B8" s="3" t="s">
        <v>463</v>
      </c>
      <c r="C8" s="3" t="s">
        <v>476</v>
      </c>
      <c r="D8" s="3" t="s">
        <v>477</v>
      </c>
      <c r="E8" s="3" t="s">
        <v>64</v>
      </c>
      <c r="F8" s="5">
        <v>0.9984</v>
      </c>
      <c r="G8" s="3">
        <v>56887</v>
      </c>
      <c r="H8" s="3">
        <v>54</v>
      </c>
      <c r="I8" s="7">
        <f t="shared" si="0"/>
        <v>0.999050749731925</v>
      </c>
      <c r="J8" s="8" t="str">
        <f t="shared" si="1"/>
        <v>是</v>
      </c>
    </row>
    <row r="9" spans="1:10">
      <c r="A9" s="3">
        <v>8</v>
      </c>
      <c r="B9" s="3" t="s">
        <v>463</v>
      </c>
      <c r="C9" s="3" t="s">
        <v>476</v>
      </c>
      <c r="D9" s="3" t="s">
        <v>478</v>
      </c>
      <c r="E9" s="3" t="s">
        <v>64</v>
      </c>
      <c r="F9" s="5">
        <v>0.9984</v>
      </c>
      <c r="G9" s="3">
        <v>56887</v>
      </c>
      <c r="H9" s="3">
        <v>4</v>
      </c>
      <c r="I9" s="7">
        <f t="shared" si="0"/>
        <v>0.999929685165328</v>
      </c>
      <c r="J9" s="8" t="str">
        <f t="shared" si="1"/>
        <v>是</v>
      </c>
    </row>
    <row r="10" spans="1:10">
      <c r="A10" s="3">
        <v>9</v>
      </c>
      <c r="B10" s="3" t="s">
        <v>463</v>
      </c>
      <c r="C10" s="3" t="s">
        <v>479</v>
      </c>
      <c r="D10" s="3" t="s">
        <v>480</v>
      </c>
      <c r="E10" s="3" t="s">
        <v>64</v>
      </c>
      <c r="F10" s="5">
        <v>0.9984</v>
      </c>
      <c r="G10" s="3">
        <v>56887</v>
      </c>
      <c r="H10" s="3">
        <v>68</v>
      </c>
      <c r="I10" s="7">
        <f t="shared" si="0"/>
        <v>0.998804647810572</v>
      </c>
      <c r="J10" s="8" t="str">
        <f t="shared" si="1"/>
        <v>是</v>
      </c>
    </row>
    <row r="11" spans="1:10">
      <c r="A11" s="3">
        <v>10</v>
      </c>
      <c r="B11" s="3" t="s">
        <v>463</v>
      </c>
      <c r="C11" s="3" t="s">
        <v>476</v>
      </c>
      <c r="D11" s="3" t="s">
        <v>481</v>
      </c>
      <c r="E11" s="3" t="s">
        <v>64</v>
      </c>
      <c r="F11" s="5">
        <v>0.9984</v>
      </c>
      <c r="G11" s="3">
        <v>56887</v>
      </c>
      <c r="H11" s="3">
        <v>7</v>
      </c>
      <c r="I11" s="7">
        <f t="shared" si="0"/>
        <v>0.999876949039324</v>
      </c>
      <c r="J11" s="8" t="str">
        <f t="shared" si="1"/>
        <v>是</v>
      </c>
    </row>
    <row r="12" spans="1:10">
      <c r="A12" s="3">
        <v>11</v>
      </c>
      <c r="B12" s="3" t="s">
        <v>482</v>
      </c>
      <c r="C12" s="3" t="s">
        <v>483</v>
      </c>
      <c r="D12" s="3" t="s">
        <v>484</v>
      </c>
      <c r="E12" s="3" t="s">
        <v>65</v>
      </c>
      <c r="F12" s="4">
        <v>0.99</v>
      </c>
      <c r="G12" s="3">
        <v>14435</v>
      </c>
      <c r="H12" s="3">
        <v>10</v>
      </c>
      <c r="I12" s="7">
        <f t="shared" si="0"/>
        <v>0.999307239348805</v>
      </c>
      <c r="J12" s="8" t="str">
        <f t="shared" si="1"/>
        <v>是</v>
      </c>
    </row>
    <row r="13" spans="1:10">
      <c r="A13" s="3">
        <v>12</v>
      </c>
      <c r="B13" s="3" t="s">
        <v>485</v>
      </c>
      <c r="C13" s="3" t="s">
        <v>479</v>
      </c>
      <c r="D13" s="3" t="s">
        <v>486</v>
      </c>
      <c r="E13" s="3" t="s">
        <v>64</v>
      </c>
      <c r="F13" s="5">
        <v>0.9984</v>
      </c>
      <c r="G13" s="3">
        <v>40952</v>
      </c>
      <c r="H13" s="3">
        <v>3</v>
      </c>
      <c r="I13" s="7">
        <f t="shared" si="0"/>
        <v>0.999926743504591</v>
      </c>
      <c r="J13" s="8" t="str">
        <f t="shared" si="1"/>
        <v>是</v>
      </c>
    </row>
    <row r="14" spans="1:10">
      <c r="A14" s="3">
        <v>13</v>
      </c>
      <c r="B14" s="3" t="s">
        <v>487</v>
      </c>
      <c r="C14" s="3" t="s">
        <v>488</v>
      </c>
      <c r="D14" s="3" t="s">
        <v>489</v>
      </c>
      <c r="E14" s="3" t="s">
        <v>66</v>
      </c>
      <c r="F14" s="4">
        <v>0.98</v>
      </c>
      <c r="G14" s="3">
        <v>3705</v>
      </c>
      <c r="H14" s="3">
        <v>2</v>
      </c>
      <c r="I14" s="7">
        <f t="shared" si="0"/>
        <v>0.999460188933873</v>
      </c>
      <c r="J14" s="8" t="str">
        <f t="shared" si="1"/>
        <v>是</v>
      </c>
    </row>
    <row r="15" spans="1:10">
      <c r="A15" s="3">
        <v>14</v>
      </c>
      <c r="B15" s="3" t="s">
        <v>487</v>
      </c>
      <c r="C15" s="3" t="s">
        <v>490</v>
      </c>
      <c r="D15" s="3" t="s">
        <v>491</v>
      </c>
      <c r="E15" s="3" t="s">
        <v>66</v>
      </c>
      <c r="F15" s="4">
        <v>0.98</v>
      </c>
      <c r="G15" s="3">
        <v>3705</v>
      </c>
      <c r="H15" s="3">
        <v>11</v>
      </c>
      <c r="I15" s="7">
        <f t="shared" si="0"/>
        <v>0.997031039136302</v>
      </c>
      <c r="J15" s="8" t="str">
        <f t="shared" si="1"/>
        <v>是</v>
      </c>
    </row>
    <row r="16" spans="1:10">
      <c r="A16" s="3">
        <v>16</v>
      </c>
      <c r="B16" s="3" t="s">
        <v>487</v>
      </c>
      <c r="C16" s="3" t="s">
        <v>492</v>
      </c>
      <c r="D16" s="3" t="s">
        <v>493</v>
      </c>
      <c r="E16" s="3" t="s">
        <v>66</v>
      </c>
      <c r="F16" s="4">
        <v>0.98</v>
      </c>
      <c r="G16" s="3">
        <v>3705</v>
      </c>
      <c r="H16" s="3">
        <v>1</v>
      </c>
      <c r="I16" s="7">
        <f t="shared" ref="I16:I33" si="2">1-H16/G16</f>
        <v>0.999730094466937</v>
      </c>
      <c r="J16" s="8" t="str">
        <f t="shared" si="1"/>
        <v>是</v>
      </c>
    </row>
    <row r="17" spans="1:10">
      <c r="A17" s="3">
        <v>17</v>
      </c>
      <c r="B17" s="3" t="s">
        <v>487</v>
      </c>
      <c r="C17" s="3" t="s">
        <v>492</v>
      </c>
      <c r="D17" s="3" t="s">
        <v>494</v>
      </c>
      <c r="E17" s="3" t="s">
        <v>66</v>
      </c>
      <c r="F17" s="4">
        <v>0.98</v>
      </c>
      <c r="G17" s="3">
        <v>3705</v>
      </c>
      <c r="H17" s="3">
        <v>13</v>
      </c>
      <c r="I17" s="7">
        <f t="shared" si="2"/>
        <v>0.996491228070175</v>
      </c>
      <c r="J17" s="8" t="str">
        <f t="shared" si="1"/>
        <v>是</v>
      </c>
    </row>
    <row r="18" spans="1:10">
      <c r="A18" s="3">
        <v>18</v>
      </c>
      <c r="B18" s="3" t="s">
        <v>495</v>
      </c>
      <c r="C18" s="3" t="s">
        <v>496</v>
      </c>
      <c r="D18" s="3" t="s">
        <v>497</v>
      </c>
      <c r="E18" s="3" t="s">
        <v>66</v>
      </c>
      <c r="F18" s="4">
        <v>0.98</v>
      </c>
      <c r="G18" s="3">
        <v>18755</v>
      </c>
      <c r="H18" s="3">
        <v>2</v>
      </c>
      <c r="I18" s="7">
        <f t="shared" si="2"/>
        <v>0.999893361770195</v>
      </c>
      <c r="J18" s="8" t="str">
        <f t="shared" si="1"/>
        <v>是</v>
      </c>
    </row>
    <row r="19" spans="1:10">
      <c r="A19" s="3">
        <v>19</v>
      </c>
      <c r="B19" s="3" t="s">
        <v>495</v>
      </c>
      <c r="C19" s="3" t="s">
        <v>498</v>
      </c>
      <c r="D19" s="3" t="s">
        <v>499</v>
      </c>
      <c r="E19" s="3" t="s">
        <v>66</v>
      </c>
      <c r="F19" s="4">
        <v>0.98</v>
      </c>
      <c r="G19" s="3">
        <v>18755</v>
      </c>
      <c r="H19" s="3">
        <v>13</v>
      </c>
      <c r="I19" s="7">
        <f t="shared" si="2"/>
        <v>0.999306851506265</v>
      </c>
      <c r="J19" s="8" t="str">
        <f t="shared" si="1"/>
        <v>是</v>
      </c>
    </row>
    <row r="20" spans="1:10">
      <c r="A20" s="3">
        <v>20</v>
      </c>
      <c r="B20" s="3" t="s">
        <v>495</v>
      </c>
      <c r="C20" s="3" t="s">
        <v>500</v>
      </c>
      <c r="D20" s="3" t="s">
        <v>501</v>
      </c>
      <c r="E20" s="3" t="s">
        <v>66</v>
      </c>
      <c r="F20" s="4">
        <v>0.98</v>
      </c>
      <c r="G20" s="3">
        <v>18755</v>
      </c>
      <c r="H20" s="3">
        <v>4</v>
      </c>
      <c r="I20" s="7">
        <f t="shared" si="2"/>
        <v>0.999786723540389</v>
      </c>
      <c r="J20" s="8" t="str">
        <f t="shared" si="1"/>
        <v>是</v>
      </c>
    </row>
    <row r="21" spans="1:10">
      <c r="A21" s="3">
        <v>21</v>
      </c>
      <c r="B21" s="3" t="s">
        <v>495</v>
      </c>
      <c r="C21" s="3" t="s">
        <v>500</v>
      </c>
      <c r="D21" s="3" t="s">
        <v>502</v>
      </c>
      <c r="E21" s="3" t="s">
        <v>66</v>
      </c>
      <c r="F21" s="4">
        <v>0.98</v>
      </c>
      <c r="G21" s="3">
        <v>18755</v>
      </c>
      <c r="H21" s="3">
        <v>18</v>
      </c>
      <c r="I21" s="7">
        <f t="shared" si="2"/>
        <v>0.999040255931751</v>
      </c>
      <c r="J21" s="8" t="str">
        <f t="shared" si="1"/>
        <v>是</v>
      </c>
    </row>
    <row r="22" spans="1:10">
      <c r="A22" s="3">
        <v>22</v>
      </c>
      <c r="B22" s="3" t="s">
        <v>495</v>
      </c>
      <c r="C22" s="3" t="s">
        <v>500</v>
      </c>
      <c r="D22" s="3" t="s">
        <v>503</v>
      </c>
      <c r="E22" s="3" t="s">
        <v>66</v>
      </c>
      <c r="F22" s="4">
        <v>0.98</v>
      </c>
      <c r="G22" s="3">
        <v>18755</v>
      </c>
      <c r="H22" s="3">
        <v>1</v>
      </c>
      <c r="I22" s="7">
        <f t="shared" si="2"/>
        <v>0.999946680885097</v>
      </c>
      <c r="J22" s="8" t="str">
        <f t="shared" si="1"/>
        <v>是</v>
      </c>
    </row>
    <row r="23" spans="1:10">
      <c r="A23" s="3">
        <v>23</v>
      </c>
      <c r="B23" s="3" t="s">
        <v>495</v>
      </c>
      <c r="C23" s="3" t="s">
        <v>500</v>
      </c>
      <c r="D23" s="3" t="s">
        <v>504</v>
      </c>
      <c r="E23" s="3" t="s">
        <v>66</v>
      </c>
      <c r="F23" s="4">
        <v>0.98</v>
      </c>
      <c r="G23" s="3">
        <v>18755</v>
      </c>
      <c r="H23" s="3">
        <v>26</v>
      </c>
      <c r="I23" s="7">
        <f t="shared" si="2"/>
        <v>0.99861370301253</v>
      </c>
      <c r="J23" s="8" t="str">
        <f t="shared" si="1"/>
        <v>是</v>
      </c>
    </row>
    <row r="24" spans="1:10">
      <c r="A24" s="3">
        <v>24</v>
      </c>
      <c r="B24" s="3" t="s">
        <v>495</v>
      </c>
      <c r="C24" s="3" t="s">
        <v>505</v>
      </c>
      <c r="D24" s="3" t="s">
        <v>506</v>
      </c>
      <c r="E24" s="3" t="s">
        <v>66</v>
      </c>
      <c r="F24" s="4">
        <v>0.98</v>
      </c>
      <c r="G24" s="3">
        <v>18755</v>
      </c>
      <c r="H24" s="3">
        <v>109</v>
      </c>
      <c r="I24" s="7">
        <f t="shared" si="2"/>
        <v>0.994188216475607</v>
      </c>
      <c r="J24" s="8" t="str">
        <f t="shared" si="1"/>
        <v>是</v>
      </c>
    </row>
    <row r="25" spans="1:10">
      <c r="A25" s="3">
        <v>25</v>
      </c>
      <c r="B25" s="3" t="s">
        <v>507</v>
      </c>
      <c r="C25" s="3" t="s">
        <v>508</v>
      </c>
      <c r="D25" s="3" t="s">
        <v>509</v>
      </c>
      <c r="E25" s="3" t="s">
        <v>66</v>
      </c>
      <c r="F25" s="4">
        <v>0.98</v>
      </c>
      <c r="G25" s="3">
        <v>608</v>
      </c>
      <c r="H25" s="3">
        <v>7</v>
      </c>
      <c r="I25" s="7">
        <f t="shared" si="2"/>
        <v>0.988486842105263</v>
      </c>
      <c r="J25" s="8" t="str">
        <f t="shared" si="1"/>
        <v>是</v>
      </c>
    </row>
    <row r="26" spans="1:10">
      <c r="A26" s="3">
        <v>26</v>
      </c>
      <c r="B26" s="3" t="s">
        <v>507</v>
      </c>
      <c r="C26" s="3" t="s">
        <v>500</v>
      </c>
      <c r="D26" s="3" t="s">
        <v>510</v>
      </c>
      <c r="E26" s="3" t="s">
        <v>66</v>
      </c>
      <c r="F26" s="4">
        <v>0.98</v>
      </c>
      <c r="G26" s="3">
        <v>608</v>
      </c>
      <c r="H26" s="3">
        <v>2</v>
      </c>
      <c r="I26" s="7">
        <f t="shared" si="2"/>
        <v>0.996710526315789</v>
      </c>
      <c r="J26" s="8" t="str">
        <f t="shared" si="1"/>
        <v>是</v>
      </c>
    </row>
    <row r="27" spans="1:10">
      <c r="A27" s="3">
        <v>27</v>
      </c>
      <c r="B27" s="3" t="s">
        <v>507</v>
      </c>
      <c r="C27" s="3" t="s">
        <v>500</v>
      </c>
      <c r="D27" s="3" t="s">
        <v>511</v>
      </c>
      <c r="E27" s="3" t="s">
        <v>66</v>
      </c>
      <c r="F27" s="4">
        <v>0.98</v>
      </c>
      <c r="G27" s="3">
        <v>608</v>
      </c>
      <c r="H27" s="3">
        <v>1</v>
      </c>
      <c r="I27" s="7">
        <f t="shared" si="2"/>
        <v>0.998355263157895</v>
      </c>
      <c r="J27" s="8" t="str">
        <f t="shared" si="1"/>
        <v>是</v>
      </c>
    </row>
    <row r="28" spans="1:10">
      <c r="A28" s="3">
        <v>28</v>
      </c>
      <c r="B28" s="3" t="s">
        <v>512</v>
      </c>
      <c r="C28" s="3" t="s">
        <v>498</v>
      </c>
      <c r="D28" s="3" t="s">
        <v>513</v>
      </c>
      <c r="E28" s="3" t="s">
        <v>66</v>
      </c>
      <c r="F28" s="4">
        <v>0.98</v>
      </c>
      <c r="G28" s="3">
        <v>1945</v>
      </c>
      <c r="H28" s="3">
        <v>6</v>
      </c>
      <c r="I28" s="7">
        <f t="shared" si="2"/>
        <v>0.996915167095116</v>
      </c>
      <c r="J28" s="8" t="str">
        <f t="shared" si="1"/>
        <v>是</v>
      </c>
    </row>
    <row r="29" spans="1:10">
      <c r="A29" s="3">
        <v>29</v>
      </c>
      <c r="B29" s="3" t="s">
        <v>512</v>
      </c>
      <c r="C29" s="3" t="s">
        <v>514</v>
      </c>
      <c r="D29" s="3" t="s">
        <v>515</v>
      </c>
      <c r="E29" s="3" t="s">
        <v>66</v>
      </c>
      <c r="F29" s="4">
        <v>0.98</v>
      </c>
      <c r="G29" s="3">
        <v>1945</v>
      </c>
      <c r="H29" s="3">
        <v>1</v>
      </c>
      <c r="I29" s="7">
        <f t="shared" si="2"/>
        <v>0.999485861182519</v>
      </c>
      <c r="J29" s="8" t="str">
        <f t="shared" si="1"/>
        <v>是</v>
      </c>
    </row>
    <row r="30" spans="1:10">
      <c r="A30" s="3">
        <v>30</v>
      </c>
      <c r="B30" s="3" t="s">
        <v>512</v>
      </c>
      <c r="C30" s="3" t="s">
        <v>514</v>
      </c>
      <c r="D30" s="3" t="s">
        <v>516</v>
      </c>
      <c r="E30" s="3" t="s">
        <v>66</v>
      </c>
      <c r="F30" s="4">
        <v>0.98</v>
      </c>
      <c r="G30" s="3">
        <v>1945</v>
      </c>
      <c r="H30" s="3">
        <v>32</v>
      </c>
      <c r="I30" s="7">
        <f t="shared" si="2"/>
        <v>0.983547557840617</v>
      </c>
      <c r="J30" s="8" t="str">
        <f t="shared" si="1"/>
        <v>是</v>
      </c>
    </row>
    <row r="31" spans="1:10">
      <c r="A31" s="3">
        <v>31</v>
      </c>
      <c r="B31" s="3" t="s">
        <v>512</v>
      </c>
      <c r="C31" s="3" t="s">
        <v>514</v>
      </c>
      <c r="D31" s="3" t="s">
        <v>517</v>
      </c>
      <c r="E31" s="3" t="s">
        <v>66</v>
      </c>
      <c r="F31" s="4">
        <v>0.98</v>
      </c>
      <c r="G31" s="3">
        <v>1945</v>
      </c>
      <c r="H31" s="3">
        <v>1</v>
      </c>
      <c r="I31" s="7">
        <f t="shared" si="2"/>
        <v>0.999485861182519</v>
      </c>
      <c r="J31" s="8" t="str">
        <f t="shared" si="1"/>
        <v>是</v>
      </c>
    </row>
    <row r="32" spans="1:10">
      <c r="A32" s="3">
        <v>32</v>
      </c>
      <c r="B32" s="3" t="s">
        <v>518</v>
      </c>
      <c r="C32" s="3" t="s">
        <v>498</v>
      </c>
      <c r="D32" s="3" t="s">
        <v>519</v>
      </c>
      <c r="E32" s="3" t="s">
        <v>66</v>
      </c>
      <c r="F32" s="4">
        <v>0.98</v>
      </c>
      <c r="G32" s="3">
        <v>15986</v>
      </c>
      <c r="H32" s="3">
        <v>37</v>
      </c>
      <c r="I32" s="7">
        <f t="shared" si="2"/>
        <v>0.997685474790442</v>
      </c>
      <c r="J32" s="8" t="str">
        <f t="shared" si="1"/>
        <v>是</v>
      </c>
    </row>
    <row r="33" spans="1:10">
      <c r="A33" s="3">
        <v>33</v>
      </c>
      <c r="B33" s="3" t="s">
        <v>518</v>
      </c>
      <c r="C33" s="3" t="s">
        <v>500</v>
      </c>
      <c r="D33" s="3" t="s">
        <v>520</v>
      </c>
      <c r="E33" s="3" t="s">
        <v>66</v>
      </c>
      <c r="F33" s="4">
        <v>0.98</v>
      </c>
      <c r="G33" s="3">
        <v>15986</v>
      </c>
      <c r="H33" s="3">
        <v>19</v>
      </c>
      <c r="I33" s="7">
        <f t="shared" si="2"/>
        <v>0.998811460027524</v>
      </c>
      <c r="J33" s="8" t="str">
        <f t="shared" si="1"/>
        <v>是</v>
      </c>
    </row>
    <row r="34" spans="1:10">
      <c r="A34" s="3">
        <v>34</v>
      </c>
      <c r="B34" s="3" t="s">
        <v>518</v>
      </c>
      <c r="C34" s="3" t="s">
        <v>500</v>
      </c>
      <c r="D34" s="3" t="s">
        <v>521</v>
      </c>
      <c r="E34" s="3" t="s">
        <v>66</v>
      </c>
      <c r="F34" s="4">
        <v>0.98</v>
      </c>
      <c r="G34" s="3">
        <v>15986</v>
      </c>
      <c r="H34" s="3">
        <v>6</v>
      </c>
      <c r="I34" s="7">
        <f t="shared" ref="I34:I51" si="3">1-H34/G34</f>
        <v>0.999624671587639</v>
      </c>
      <c r="J34" s="8" t="str">
        <f t="shared" si="1"/>
        <v>是</v>
      </c>
    </row>
    <row r="35" spans="1:10">
      <c r="A35" s="3">
        <v>35</v>
      </c>
      <c r="B35" s="3" t="s">
        <v>518</v>
      </c>
      <c r="C35" s="3" t="s">
        <v>500</v>
      </c>
      <c r="D35" s="3" t="s">
        <v>522</v>
      </c>
      <c r="E35" s="3" t="s">
        <v>66</v>
      </c>
      <c r="F35" s="4">
        <v>0.98</v>
      </c>
      <c r="G35" s="3">
        <v>15986</v>
      </c>
      <c r="H35" s="3">
        <v>15</v>
      </c>
      <c r="I35" s="7">
        <f t="shared" si="3"/>
        <v>0.999061678969098</v>
      </c>
      <c r="J35" s="8" t="str">
        <f t="shared" ref="J35:J51" si="4">IF(I35&gt;=F35,"是","否")</f>
        <v>是</v>
      </c>
    </row>
    <row r="36" spans="1:10">
      <c r="A36" s="3">
        <v>36</v>
      </c>
      <c r="B36" s="3" t="s">
        <v>518</v>
      </c>
      <c r="C36" s="3" t="s">
        <v>523</v>
      </c>
      <c r="D36" s="3" t="s">
        <v>524</v>
      </c>
      <c r="E36" s="3" t="s">
        <v>66</v>
      </c>
      <c r="F36" s="4">
        <v>0.98</v>
      </c>
      <c r="G36" s="3">
        <v>15986</v>
      </c>
      <c r="H36" s="3">
        <v>1</v>
      </c>
      <c r="I36" s="7">
        <f t="shared" si="3"/>
        <v>0.999937445264606</v>
      </c>
      <c r="J36" s="8" t="str">
        <f t="shared" si="4"/>
        <v>是</v>
      </c>
    </row>
    <row r="37" spans="1:10">
      <c r="A37" s="3">
        <v>37</v>
      </c>
      <c r="B37" s="3" t="s">
        <v>518</v>
      </c>
      <c r="C37" s="3" t="s">
        <v>525</v>
      </c>
      <c r="D37" s="3" t="s">
        <v>526</v>
      </c>
      <c r="E37" s="3" t="s">
        <v>66</v>
      </c>
      <c r="F37" s="4">
        <v>0.98</v>
      </c>
      <c r="G37" s="3">
        <v>15986</v>
      </c>
      <c r="H37" s="3">
        <v>4</v>
      </c>
      <c r="I37" s="7">
        <f t="shared" si="3"/>
        <v>0.999749781058426</v>
      </c>
      <c r="J37" s="8" t="str">
        <f t="shared" si="4"/>
        <v>是</v>
      </c>
    </row>
    <row r="38" spans="1:10">
      <c r="A38" s="3">
        <v>38</v>
      </c>
      <c r="B38" s="3" t="s">
        <v>527</v>
      </c>
      <c r="C38" s="3" t="s">
        <v>476</v>
      </c>
      <c r="D38" s="3" t="s">
        <v>528</v>
      </c>
      <c r="E38" s="3" t="s">
        <v>64</v>
      </c>
      <c r="F38" s="5">
        <v>0.9984</v>
      </c>
      <c r="G38" s="3">
        <v>38</v>
      </c>
      <c r="H38" s="3">
        <v>2</v>
      </c>
      <c r="I38" s="7">
        <f t="shared" si="3"/>
        <v>0.947368421052632</v>
      </c>
      <c r="J38" s="9" t="str">
        <f t="shared" si="4"/>
        <v>否</v>
      </c>
    </row>
    <row r="39" spans="1:10">
      <c r="A39" s="3">
        <v>39</v>
      </c>
      <c r="B39" s="3" t="s">
        <v>527</v>
      </c>
      <c r="C39" s="3" t="s">
        <v>476</v>
      </c>
      <c r="D39" s="3" t="s">
        <v>529</v>
      </c>
      <c r="E39" s="3" t="s">
        <v>64</v>
      </c>
      <c r="F39" s="5">
        <v>0.9984</v>
      </c>
      <c r="G39" s="3">
        <v>38</v>
      </c>
      <c r="H39" s="3">
        <v>1</v>
      </c>
      <c r="I39" s="7">
        <f t="shared" si="3"/>
        <v>0.973684210526316</v>
      </c>
      <c r="J39" s="9" t="str">
        <f t="shared" si="4"/>
        <v>否</v>
      </c>
    </row>
    <row r="40" spans="1:10">
      <c r="A40" s="3">
        <v>40</v>
      </c>
      <c r="B40" s="3" t="s">
        <v>530</v>
      </c>
      <c r="C40" s="3" t="s">
        <v>498</v>
      </c>
      <c r="D40" s="3" t="s">
        <v>531</v>
      </c>
      <c r="E40" s="3" t="s">
        <v>66</v>
      </c>
      <c r="F40" s="4">
        <v>0.98</v>
      </c>
      <c r="G40" s="3">
        <v>1479</v>
      </c>
      <c r="H40" s="3">
        <v>15</v>
      </c>
      <c r="I40" s="7">
        <f t="shared" si="3"/>
        <v>0.989858012170385</v>
      </c>
      <c r="J40" s="8" t="str">
        <f t="shared" si="4"/>
        <v>是</v>
      </c>
    </row>
    <row r="41" spans="1:10">
      <c r="A41" s="3">
        <v>41</v>
      </c>
      <c r="B41" s="3" t="s">
        <v>530</v>
      </c>
      <c r="C41" s="3" t="s">
        <v>500</v>
      </c>
      <c r="D41" s="3" t="s">
        <v>532</v>
      </c>
      <c r="E41" s="3" t="s">
        <v>66</v>
      </c>
      <c r="F41" s="4">
        <v>0.98</v>
      </c>
      <c r="G41" s="3">
        <v>1479</v>
      </c>
      <c r="H41" s="3">
        <v>4</v>
      </c>
      <c r="I41" s="7">
        <f t="shared" si="3"/>
        <v>0.997295469912103</v>
      </c>
      <c r="J41" s="8" t="str">
        <f t="shared" si="4"/>
        <v>是</v>
      </c>
    </row>
    <row r="42" spans="1:10">
      <c r="A42" s="3">
        <v>42</v>
      </c>
      <c r="B42" s="3" t="s">
        <v>530</v>
      </c>
      <c r="C42" s="3" t="s">
        <v>500</v>
      </c>
      <c r="D42" s="3" t="s">
        <v>533</v>
      </c>
      <c r="E42" s="3" t="s">
        <v>66</v>
      </c>
      <c r="F42" s="4">
        <v>0.98</v>
      </c>
      <c r="G42" s="3">
        <v>1479</v>
      </c>
      <c r="H42" s="3">
        <v>5</v>
      </c>
      <c r="I42" s="7">
        <f t="shared" si="3"/>
        <v>0.996619337390128</v>
      </c>
      <c r="J42" s="8" t="str">
        <f t="shared" si="4"/>
        <v>是</v>
      </c>
    </row>
    <row r="43" spans="1:10">
      <c r="A43" s="3">
        <v>43</v>
      </c>
      <c r="B43" s="3" t="s">
        <v>530</v>
      </c>
      <c r="C43" s="3" t="s">
        <v>500</v>
      </c>
      <c r="D43" s="3" t="s">
        <v>534</v>
      </c>
      <c r="E43" s="3" t="s">
        <v>66</v>
      </c>
      <c r="F43" s="4">
        <v>0.98</v>
      </c>
      <c r="G43" s="3">
        <v>1479</v>
      </c>
      <c r="H43" s="3">
        <v>14</v>
      </c>
      <c r="I43" s="7">
        <f t="shared" si="3"/>
        <v>0.99053414469236</v>
      </c>
      <c r="J43" s="8" t="str">
        <f t="shared" si="4"/>
        <v>是</v>
      </c>
    </row>
    <row r="44" spans="1:10">
      <c r="A44" s="3">
        <v>44</v>
      </c>
      <c r="B44" s="3" t="s">
        <v>530</v>
      </c>
      <c r="C44" s="3" t="s">
        <v>500</v>
      </c>
      <c r="D44" s="3" t="s">
        <v>535</v>
      </c>
      <c r="E44" s="3" t="s">
        <v>66</v>
      </c>
      <c r="F44" s="4">
        <v>0.98</v>
      </c>
      <c r="G44" s="3">
        <v>1479</v>
      </c>
      <c r="H44" s="3">
        <v>17</v>
      </c>
      <c r="I44" s="7">
        <f t="shared" si="3"/>
        <v>0.988505747126437</v>
      </c>
      <c r="J44" s="8" t="str">
        <f t="shared" si="4"/>
        <v>是</v>
      </c>
    </row>
    <row r="45" spans="1:10">
      <c r="A45" s="3">
        <v>45</v>
      </c>
      <c r="B45" s="3" t="s">
        <v>530</v>
      </c>
      <c r="C45" s="3" t="s">
        <v>525</v>
      </c>
      <c r="D45" s="3" t="s">
        <v>536</v>
      </c>
      <c r="E45" s="3" t="s">
        <v>65</v>
      </c>
      <c r="F45" s="4">
        <v>0.99</v>
      </c>
      <c r="G45" s="3">
        <v>1479</v>
      </c>
      <c r="H45" s="3">
        <v>11</v>
      </c>
      <c r="I45" s="7">
        <f t="shared" si="3"/>
        <v>0.992562542258283</v>
      </c>
      <c r="J45" s="8" t="str">
        <f t="shared" si="4"/>
        <v>是</v>
      </c>
    </row>
    <row r="46" spans="1:10">
      <c r="A46" s="3">
        <v>46</v>
      </c>
      <c r="B46" s="3" t="s">
        <v>537</v>
      </c>
      <c r="C46" s="3" t="s">
        <v>498</v>
      </c>
      <c r="D46" s="3" t="s">
        <v>538</v>
      </c>
      <c r="E46" s="3" t="s">
        <v>66</v>
      </c>
      <c r="F46" s="4">
        <v>0.98</v>
      </c>
      <c r="G46" s="3">
        <v>36565</v>
      </c>
      <c r="H46" s="3">
        <v>144</v>
      </c>
      <c r="I46" s="7">
        <f t="shared" si="3"/>
        <v>0.996061807739642</v>
      </c>
      <c r="J46" s="8" t="str">
        <f t="shared" si="4"/>
        <v>是</v>
      </c>
    </row>
    <row r="47" spans="1:10">
      <c r="A47" s="3">
        <v>47</v>
      </c>
      <c r="B47" s="3" t="s">
        <v>537</v>
      </c>
      <c r="C47" s="3" t="s">
        <v>476</v>
      </c>
      <c r="D47" s="3" t="s">
        <v>539</v>
      </c>
      <c r="E47" s="3" t="s">
        <v>65</v>
      </c>
      <c r="F47" s="4">
        <v>0.99</v>
      </c>
      <c r="G47" s="3">
        <v>36565</v>
      </c>
      <c r="H47" s="3">
        <v>4</v>
      </c>
      <c r="I47" s="7">
        <f t="shared" si="3"/>
        <v>0.999890605770546</v>
      </c>
      <c r="J47" s="8" t="str">
        <f t="shared" si="4"/>
        <v>是</v>
      </c>
    </row>
    <row r="48" spans="1:10">
      <c r="A48" s="3">
        <v>48</v>
      </c>
      <c r="B48" s="3" t="s">
        <v>537</v>
      </c>
      <c r="C48" s="3" t="s">
        <v>476</v>
      </c>
      <c r="D48" s="3" t="s">
        <v>540</v>
      </c>
      <c r="E48" s="3" t="s">
        <v>65</v>
      </c>
      <c r="F48" s="4">
        <v>0.99</v>
      </c>
      <c r="G48" s="3">
        <v>36565</v>
      </c>
      <c r="H48" s="3">
        <v>12</v>
      </c>
      <c r="I48" s="7">
        <f t="shared" si="3"/>
        <v>0.999671817311637</v>
      </c>
      <c r="J48" s="8" t="str">
        <f t="shared" si="4"/>
        <v>是</v>
      </c>
    </row>
    <row r="49" spans="1:10">
      <c r="A49" s="3">
        <v>49</v>
      </c>
      <c r="B49" s="3" t="s">
        <v>537</v>
      </c>
      <c r="C49" s="3" t="s">
        <v>476</v>
      </c>
      <c r="D49" s="3" t="s">
        <v>541</v>
      </c>
      <c r="E49" s="3" t="s">
        <v>65</v>
      </c>
      <c r="F49" s="4">
        <v>0.99</v>
      </c>
      <c r="G49" s="3">
        <v>36565</v>
      </c>
      <c r="H49" s="3">
        <v>5</v>
      </c>
      <c r="I49" s="7">
        <f t="shared" si="3"/>
        <v>0.999863257213182</v>
      </c>
      <c r="J49" s="8" t="str">
        <f t="shared" si="4"/>
        <v>是</v>
      </c>
    </row>
    <row r="50" spans="1:10">
      <c r="A50" s="3">
        <v>50</v>
      </c>
      <c r="B50" s="3" t="s">
        <v>537</v>
      </c>
      <c r="C50" s="3" t="s">
        <v>476</v>
      </c>
      <c r="D50" s="3" t="s">
        <v>542</v>
      </c>
      <c r="E50" s="3" t="s">
        <v>65</v>
      </c>
      <c r="F50" s="4">
        <v>0.99</v>
      </c>
      <c r="G50" s="3">
        <v>36565</v>
      </c>
      <c r="H50" s="3">
        <v>5</v>
      </c>
      <c r="I50" s="7">
        <f t="shared" si="3"/>
        <v>0.999863257213182</v>
      </c>
      <c r="J50" s="8" t="str">
        <f t="shared" si="4"/>
        <v>是</v>
      </c>
    </row>
    <row r="51" spans="1:10">
      <c r="A51" s="3">
        <v>51</v>
      </c>
      <c r="B51" s="3" t="s">
        <v>537</v>
      </c>
      <c r="C51" s="3" t="s">
        <v>525</v>
      </c>
      <c r="D51" s="3" t="s">
        <v>543</v>
      </c>
      <c r="E51" s="3" t="s">
        <v>66</v>
      </c>
      <c r="F51" s="4">
        <v>0.98</v>
      </c>
      <c r="G51" s="3">
        <v>36565</v>
      </c>
      <c r="H51" s="3">
        <v>25</v>
      </c>
      <c r="I51" s="7">
        <f t="shared" si="3"/>
        <v>0.99931628606591</v>
      </c>
      <c r="J51" s="8" t="str">
        <f t="shared" si="4"/>
        <v>是</v>
      </c>
    </row>
  </sheetData>
  <autoFilter ref="A1:J51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封面</vt:lpstr>
      <vt:lpstr>修订履历</vt:lpstr>
      <vt:lpstr>综述</vt:lpstr>
      <vt:lpstr>1.文件列表检查</vt:lpstr>
      <vt:lpstr>2.提交范围检查</vt:lpstr>
      <vt:lpstr>3.规格+值域+主外键</vt:lpstr>
      <vt:lpstr>4.几何拓扑逻辑检查</vt:lpstr>
      <vt:lpstr>5.与现实世界一致性检查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王乾(京畿)</dc:creator>
  <cp:lastModifiedBy>Nana</cp:lastModifiedBy>
  <dcterms:created xsi:type="dcterms:W3CDTF">2023-06-29T10:14:00Z</dcterms:created>
  <dcterms:modified xsi:type="dcterms:W3CDTF">2023-07-26T12:04:43Z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325C7118F31A4D9DA55BC9AAAEC8FFFD_12</vt:lpwstr>
  </property>
  <property fmtid="{D5CDD505-2E9C-101B-9397-08002B2CF9AE}" pid="3" name="KSOProductBuildVer">
    <vt:lpwstr>2052-11.1.0.14309</vt:lpwstr>
  </property>
</Properties>
</file>